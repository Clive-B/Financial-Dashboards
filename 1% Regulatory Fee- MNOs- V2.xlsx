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dro\Downloads\"/>
    </mc:Choice>
  </mc:AlternateContent>
  <xr:revisionPtr revIDLastSave="0" documentId="13_ncr:1_{D64769EA-C5AD-40F8-8C6F-F2874B4692AC}" xr6:coauthVersionLast="47" xr6:coauthVersionMax="47" xr10:uidLastSave="{00000000-0000-0000-0000-000000000000}"/>
  <bookViews>
    <workbookView xWindow="-110" yWindow="-110" windowWidth="22620" windowHeight="13500" activeTab="9" xr2:uid="{00000000-000D-0000-FFFF-FFFF00000000}"/>
  </bookViews>
  <sheets>
    <sheet name="2017" sheetId="5" r:id="rId1"/>
    <sheet name="2018" sheetId="7" r:id="rId2"/>
    <sheet name="2019" sheetId="8" r:id="rId3"/>
    <sheet name="2020" sheetId="9" r:id="rId4"/>
    <sheet name="2021" sheetId="10" r:id="rId5"/>
    <sheet name="2022" sheetId="11" r:id="rId6"/>
    <sheet name="2023" sheetId="12" r:id="rId7"/>
    <sheet name="2024" sheetId="13" r:id="rId8"/>
    <sheet name="2025" sheetId="14" r:id="rId9"/>
    <sheet name="SUMMARY" sheetId="6" r:id="rId10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4" l="1"/>
  <c r="E20" i="14"/>
  <c r="E15" i="14"/>
  <c r="F10" i="14"/>
  <c r="F21" i="14" s="1"/>
  <c r="E10" i="14"/>
  <c r="E21" i="14" s="1"/>
  <c r="F20" i="13"/>
  <c r="E20" i="13"/>
  <c r="F15" i="13"/>
  <c r="E15" i="13"/>
  <c r="F10" i="13"/>
  <c r="F21" i="13" s="1"/>
  <c r="E10" i="13"/>
  <c r="E21" i="13" s="1"/>
  <c r="F20" i="12"/>
  <c r="E20" i="12"/>
  <c r="F15" i="12"/>
  <c r="E15" i="12"/>
  <c r="F10" i="12"/>
  <c r="F21" i="12" s="1"/>
  <c r="E10" i="12"/>
  <c r="E21" i="12" s="1"/>
  <c r="F20" i="11"/>
  <c r="E20" i="11"/>
  <c r="F15" i="11"/>
  <c r="E15" i="11"/>
  <c r="F10" i="11"/>
  <c r="F21" i="11" s="1"/>
  <c r="E10" i="11"/>
  <c r="E21" i="11" s="1"/>
  <c r="F20" i="10"/>
  <c r="F15" i="10"/>
  <c r="E15" i="10"/>
  <c r="F10" i="10"/>
  <c r="F21" i="10" s="1"/>
  <c r="E10" i="10"/>
  <c r="E21" i="10" s="1"/>
  <c r="F20" i="9"/>
  <c r="E20" i="9"/>
  <c r="F15" i="9"/>
  <c r="E15" i="9"/>
  <c r="F10" i="9"/>
  <c r="F21" i="9" s="1"/>
  <c r="E10" i="9"/>
  <c r="E21" i="9" s="1"/>
  <c r="F20" i="8"/>
  <c r="E20" i="8"/>
  <c r="F15" i="8"/>
  <c r="E15" i="8"/>
  <c r="F10" i="8"/>
  <c r="F21" i="8" s="1"/>
  <c r="E10" i="8"/>
  <c r="E21" i="8" s="1"/>
  <c r="F20" i="7"/>
  <c r="E20" i="7"/>
  <c r="F15" i="7"/>
  <c r="E15" i="7"/>
  <c r="F10" i="7"/>
  <c r="F21" i="7" s="1"/>
  <c r="E10" i="7"/>
  <c r="E21" i="7" s="1"/>
  <c r="F19" i="5"/>
  <c r="F14" i="5"/>
  <c r="F9" i="5"/>
  <c r="E19" i="5"/>
  <c r="E14" i="5"/>
  <c r="E9" i="5"/>
  <c r="C5" i="6" l="1"/>
  <c r="C4" i="6"/>
  <c r="C3" i="6"/>
  <c r="B5" i="6"/>
  <c r="D5" i="6" s="1"/>
  <c r="B4" i="6"/>
  <c r="D4" i="6" s="1"/>
  <c r="B3" i="6"/>
  <c r="F20" i="5"/>
  <c r="E20" i="5"/>
  <c r="D3" i="6" l="1"/>
  <c r="D6" i="6" s="1"/>
  <c r="B6" i="6"/>
  <c r="C6" i="6"/>
</calcChain>
</file>

<file path=xl/sharedStrings.xml><?xml version="1.0" encoding="utf-8"?>
<sst xmlns="http://schemas.openxmlformats.org/spreadsheetml/2006/main" count="225" uniqueCount="19">
  <si>
    <t>Q1</t>
  </si>
  <si>
    <t>Q2</t>
  </si>
  <si>
    <t>Q3</t>
  </si>
  <si>
    <t>Q4</t>
  </si>
  <si>
    <t>1% Regulatory Fee Invoices issued against receipts</t>
  </si>
  <si>
    <t>OPERATOR</t>
  </si>
  <si>
    <t>PERIOD</t>
  </si>
  <si>
    <t>MTN</t>
  </si>
  <si>
    <t>INVOICE ISSUED (GHS)</t>
  </si>
  <si>
    <t>PAYMENT RECEIVED (GHS)</t>
  </si>
  <si>
    <t>TELECEL</t>
  </si>
  <si>
    <t>AT</t>
  </si>
  <si>
    <t>SUM</t>
  </si>
  <si>
    <t>YEAR TOTAL</t>
  </si>
  <si>
    <t>TOTAL INVOICED</t>
  </si>
  <si>
    <t>TOTAL RECEIVED</t>
  </si>
  <si>
    <t>GRAND TOTAL</t>
  </si>
  <si>
    <t>SUMMARY OF 1% REGULATORY FEES INVOICED AND RECEIVED FROM 2017 TO 2025</t>
  </si>
  <si>
    <t>OUTSTANDING 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</si>
</sst>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43" fontId="0" fillId="0" borderId="1" xfId="1" applyFont="1" applyBorder="1"/>
    <xf numFmtId="0" fontId="0" fillId="0" borderId="0" xfId="0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2" fillId="0" borderId="13" xfId="0" applyFont="1" applyBorder="1"/>
    <xf numFmtId="0" fontId="3" fillId="0" borderId="13" xfId="0" applyFont="1" applyBorder="1"/>
    <xf numFmtId="0" fontId="0" fillId="0" borderId="19" xfId="0" applyBorder="1"/>
    <xf numFmtId="0" fontId="0" fillId="0" borderId="20" xfId="0" applyBorder="1"/>
    <xf numFmtId="0" fontId="3" fillId="0" borderId="20" xfId="0" applyFont="1" applyBorder="1"/>
    <xf numFmtId="0" fontId="3" fillId="0" borderId="21" xfId="0" applyFont="1" applyBorder="1"/>
    <xf numFmtId="0" fontId="5" fillId="0" borderId="0" xfId="0" applyFont="1"/>
    <xf numFmtId="0" fontId="6" fillId="0" borderId="2" xfId="0" applyFont="1" applyBorder="1"/>
    <xf numFmtId="0" fontId="2" fillId="0" borderId="9" xfId="0" applyFont="1" applyBorder="1"/>
    <xf numFmtId="0" fontId="0" fillId="0" borderId="2" xfId="0" applyBorder="1"/>
    <xf numFmtId="0" fontId="2" fillId="0" borderId="2" xfId="0" applyFont="1" applyBorder="1"/>
    <xf numFmtId="0" fontId="3" fillId="0" borderId="18" xfId="0" applyFont="1" applyBorder="1"/>
    <xf numFmtId="0" fontId="3" fillId="0" borderId="19" xfId="0" applyFont="1" applyBorder="1"/>
    <xf numFmtId="0" fontId="0" fillId="0" borderId="22" xfId="0" applyBorder="1"/>
    <xf numFmtId="43" fontId="0" fillId="0" borderId="15" xfId="1" applyFont="1" applyBorder="1"/>
    <xf numFmtId="43" fontId="0" fillId="0" borderId="16" xfId="1" applyFont="1" applyBorder="1"/>
    <xf numFmtId="43" fontId="3" fillId="0" borderId="4" xfId="0" applyNumberFormat="1" applyFont="1" applyBorder="1"/>
    <xf numFmtId="2" fontId="3" fillId="0" borderId="4" xfId="0" applyNumberFormat="1" applyFont="1" applyBorder="1"/>
    <xf numFmtId="0" fontId="7" fillId="0" borderId="0" xfId="0" applyFont="1"/>
    <xf numFmtId="43" fontId="5" fillId="0" borderId="2" xfId="0" applyNumberFormat="1" applyFont="1" applyBorder="1"/>
    <xf numFmtId="43" fontId="5" fillId="0" borderId="4" xfId="0" applyNumberFormat="1" applyFont="1" applyBorder="1"/>
    <xf numFmtId="43" fontId="6" fillId="0" borderId="2" xfId="1" applyFont="1" applyBorder="1"/>
    <xf numFmtId="43" fontId="5" fillId="0" borderId="21" xfId="0" applyNumberFormat="1" applyFont="1" applyBorder="1"/>
    <xf numFmtId="43" fontId="0" fillId="0" borderId="11" xfId="1" applyFont="1" applyBorder="1"/>
    <xf numFmtId="43" fontId="0" fillId="0" borderId="12" xfId="1" applyFont="1" applyBorder="1"/>
    <xf numFmtId="43" fontId="3" fillId="0" borderId="2" xfId="0" applyNumberFormat="1" applyFont="1" applyBorder="1"/>
    <xf numFmtId="43" fontId="0" fillId="0" borderId="10" xfId="1" applyFont="1" applyBorder="1"/>
    <xf numFmtId="43" fontId="0" fillId="0" borderId="10" xfId="1" applyFont="1" applyFill="1" applyBorder="1"/>
    <xf numFmtId="43" fontId="0" fillId="0" borderId="5" xfId="1" applyFont="1" applyBorder="1"/>
    <xf numFmtId="43" fontId="3" fillId="0" borderId="13" xfId="0" applyNumberFormat="1" applyFont="1" applyBorder="1"/>
    <xf numFmtId="43" fontId="0" fillId="0" borderId="9" xfId="1" applyFont="1" applyFill="1" applyBorder="1"/>
    <xf numFmtId="43" fontId="3" fillId="0" borderId="2" xfId="1" applyFont="1" applyBorder="1"/>
    <xf numFmtId="164" fontId="0" fillId="0" borderId="0" xfId="0" applyNumberFormat="1"/>
    <xf numFmtId="164" fontId="0" fillId="0" borderId="2" xfId="0" applyNumberFormat="1" applyBorder="1"/>
    <xf numFmtId="0" fontId="7" fillId="0" borderId="2" xfId="0" applyFont="1" applyBorder="1"/>
    <xf numFmtId="0" fontId="7" fillId="0" borderId="13" xfId="0" applyFont="1" applyBorder="1"/>
    <xf numFmtId="164" fontId="0" fillId="0" borderId="13" xfId="0" applyNumberFormat="1" applyBorder="1"/>
    <xf numFmtId="164" fontId="6" fillId="0" borderId="2" xfId="0" applyNumberFormat="1" applyFont="1" applyBorder="1"/>
    <xf numFmtId="164" fontId="8" fillId="0" borderId="2" xfId="0" applyNumberFormat="1" applyFont="1" applyBorder="1"/>
    <xf numFmtId="0" fontId="5" fillId="0" borderId="2" xfId="0" applyFont="1" applyBorder="1"/>
    <xf numFmtId="0" fontId="8" fillId="0" borderId="2" xfId="0" applyFont="1" applyBorder="1"/>
    <xf numFmtId="0" fontId="5" fillId="0" borderId="19" xfId="0" applyFont="1" applyBorder="1"/>
    <xf numFmtId="164" fontId="8" fillId="0" borderId="19" xfId="0" applyNumberFormat="1" applyFont="1" applyBorder="1"/>
    <xf numFmtId="164" fontId="8" fillId="0" borderId="18" xfId="0" applyNumberFormat="1" applyFont="1" applyBorder="1"/>
    <xf numFmtId="164" fontId="6" fillId="0" borderId="19" xfId="0" applyNumberFormat="1" applyFont="1" applyBorder="1"/>
    <xf numFmtId="0" fontId="5" fillId="0" borderId="9" xfId="0" applyFont="1" applyBorder="1"/>
    <xf numFmtId="164" fontId="2" fillId="0" borderId="0" xfId="0" applyNumberFormat="1" applyFont="1"/>
    <xf numFmtId="43" fontId="0" fillId="0" borderId="13" xfId="1" applyFont="1" applyBorder="1"/>
    <xf numFmtId="43" fontId="0" fillId="0" borderId="14" xfId="1" applyFont="1" applyBorder="1"/>
    <xf numFmtId="164" fontId="3" fillId="0" borderId="21" xfId="0" applyNumberFormat="1" applyFont="1" applyBorder="1"/>
    <xf numFmtId="0" fontId="0" fillId="0" borderId="18" xfId="0" applyBorder="1" applyAlignment="1">
      <alignment horizontal="center" vertical="center"/>
    </xf>
    <xf numFmtId="43" fontId="0" fillId="0" borderId="23" xfId="1" applyFont="1" applyBorder="1"/>
    <xf numFmtId="164" fontId="3" fillId="0" borderId="24" xfId="0" applyNumberFormat="1" applyFont="1" applyBorder="1"/>
    <xf numFmtId="0" fontId="3" fillId="0" borderId="2" xfId="0" applyFont="1" applyBorder="1"/>
    <xf numFmtId="164" fontId="3" fillId="0" borderId="2" xfId="0" applyNumberFormat="1" applyFont="1" applyBorder="1"/>
    <xf numFmtId="43" fontId="8" fillId="0" borderId="3" xfId="1" applyFont="1" applyBorder="1"/>
    <xf numFmtId="43" fontId="8" fillId="0" borderId="4" xfId="1" applyFont="1" applyBorder="1"/>
    <xf numFmtId="43" fontId="8" fillId="0" borderId="5" xfId="1" applyFont="1" applyBorder="1"/>
    <xf numFmtId="43" fontId="3" fillId="0" borderId="21" xfId="1" applyFont="1" applyBorder="1"/>
    <xf numFmtId="164" fontId="8" fillId="0" borderId="13" xfId="0" applyNumberFormat="1" applyFont="1" applyBorder="1"/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EE62-A4DE-48ED-9422-8C761E132A0D}">
  <sheetPr codeName="Sheet1"/>
  <dimension ref="B2:H194"/>
  <sheetViews>
    <sheetView zoomScaleNormal="100" workbookViewId="0"/>
  </sheetViews>
  <sheetFormatPr defaultRowHeight="14.5" x14ac:dyDescent="0.35"/>
  <cols>
    <col min="2" max="2" width="4.6328125" customWidth="1"/>
    <col min="3" max="3" width="19" customWidth="1"/>
    <col min="4" max="4" width="24.1796875" customWidth="1"/>
    <col min="5" max="5" width="24.54296875" customWidth="1"/>
    <col min="6" max="6" width="32.453125" customWidth="1"/>
    <col min="8" max="8" width="14.81640625" bestFit="1" customWidth="1"/>
  </cols>
  <sheetData>
    <row r="2" spans="2:8" x14ac:dyDescent="0.35">
      <c r="C2" s="101" t="s">
        <v>4</v>
      </c>
      <c r="D2" s="101"/>
      <c r="E2" s="101"/>
      <c r="F2" s="101"/>
    </row>
    <row r="3" spans="2:8" ht="19" thickBot="1" x14ac:dyDescent="0.5">
      <c r="B3" s="102">
        <v>2017</v>
      </c>
      <c r="C3" s="102"/>
      <c r="D3" s="102"/>
      <c r="E3" s="102"/>
      <c r="F3" s="102"/>
      <c r="G3" s="102"/>
    </row>
    <row r="4" spans="2:8" ht="15" thickBot="1" x14ac:dyDescent="0.4">
      <c r="C4" s="28" t="s">
        <v>6</v>
      </c>
      <c r="D4" s="26" t="s">
        <v>5</v>
      </c>
      <c r="E4" s="26" t="s">
        <v>8</v>
      </c>
      <c r="F4" s="28" t="s">
        <v>9</v>
      </c>
    </row>
    <row r="5" spans="2:8" x14ac:dyDescent="0.35">
      <c r="B5" s="2"/>
      <c r="C5" s="6" t="s">
        <v>0</v>
      </c>
      <c r="D5" s="87" t="s">
        <v>7</v>
      </c>
      <c r="E5" s="12"/>
      <c r="F5" s="12"/>
    </row>
    <row r="6" spans="2:8" x14ac:dyDescent="0.35">
      <c r="B6" s="2"/>
      <c r="C6" s="7" t="s">
        <v>1</v>
      </c>
      <c r="D6" s="88"/>
      <c r="E6" s="13"/>
      <c r="F6" s="13"/>
    </row>
    <row r="7" spans="2:8" x14ac:dyDescent="0.35">
      <c r="B7" s="2"/>
      <c r="C7" s="7" t="s">
        <v>2</v>
      </c>
      <c r="D7" s="88"/>
      <c r="E7" s="13"/>
      <c r="F7" s="13"/>
      <c r="H7" s="50"/>
    </row>
    <row r="8" spans="2:8" ht="15" thickBot="1" x14ac:dyDescent="0.4">
      <c r="B8" s="2"/>
      <c r="C8" s="8" t="s">
        <v>3</v>
      </c>
      <c r="D8" s="89"/>
      <c r="E8" s="14"/>
      <c r="F8" s="69">
        <v>7573837.1600000001</v>
      </c>
      <c r="H8" s="50"/>
    </row>
    <row r="9" spans="2:8" ht="16" thickBot="1" x14ac:dyDescent="0.4">
      <c r="B9" s="2"/>
      <c r="C9" s="29" t="s">
        <v>12</v>
      </c>
      <c r="D9" s="10"/>
      <c r="E9" s="19">
        <f>SUM(E5:E8)</f>
        <v>0</v>
      </c>
      <c r="F9" s="49">
        <f>SUM(F5:F8)</f>
        <v>7573837.1600000001</v>
      </c>
      <c r="H9" s="50"/>
    </row>
    <row r="10" spans="2:8" x14ac:dyDescent="0.35">
      <c r="C10" s="6" t="s">
        <v>0</v>
      </c>
      <c r="D10" s="78" t="s">
        <v>10</v>
      </c>
      <c r="E10" s="9"/>
      <c r="F10" s="44">
        <v>217123</v>
      </c>
      <c r="H10" s="64"/>
    </row>
    <row r="11" spans="2:8" x14ac:dyDescent="0.35">
      <c r="C11" s="7" t="s">
        <v>1</v>
      </c>
      <c r="D11" s="79"/>
      <c r="E11" s="15"/>
      <c r="F11" s="13"/>
    </row>
    <row r="12" spans="2:8" x14ac:dyDescent="0.35">
      <c r="C12" s="7" t="s">
        <v>2</v>
      </c>
      <c r="D12" s="79"/>
      <c r="E12" s="15"/>
      <c r="F12" s="13"/>
    </row>
    <row r="13" spans="2:8" ht="15" thickBot="1" x14ac:dyDescent="0.4">
      <c r="C13" s="8" t="s">
        <v>3</v>
      </c>
      <c r="D13" s="80"/>
      <c r="E13" s="16"/>
      <c r="F13" s="42">
        <v>2248021.15</v>
      </c>
    </row>
    <row r="14" spans="2:8" ht="16" thickBot="1" x14ac:dyDescent="0.4">
      <c r="C14" s="29" t="s">
        <v>12</v>
      </c>
      <c r="D14" s="10"/>
      <c r="E14" s="19">
        <f>SUM(E10:E13)</f>
        <v>0</v>
      </c>
      <c r="F14" s="34">
        <f>SUM(F10:F13)</f>
        <v>2465144.15</v>
      </c>
    </row>
    <row r="15" spans="2:8" x14ac:dyDescent="0.35">
      <c r="C15" s="6" t="s">
        <v>0</v>
      </c>
      <c r="D15" s="78" t="s">
        <v>11</v>
      </c>
      <c r="E15" s="9"/>
      <c r="F15" s="3"/>
      <c r="H15" s="50"/>
    </row>
    <row r="16" spans="2:8" x14ac:dyDescent="0.35">
      <c r="C16" s="7" t="s">
        <v>1</v>
      </c>
      <c r="D16" s="79"/>
      <c r="E16" s="15"/>
      <c r="F16" s="4"/>
    </row>
    <row r="17" spans="2:8" x14ac:dyDescent="0.35">
      <c r="C17" s="7" t="s">
        <v>2</v>
      </c>
      <c r="D17" s="79"/>
      <c r="E17" s="15"/>
      <c r="F17" s="4"/>
      <c r="H17" s="64"/>
    </row>
    <row r="18" spans="2:8" ht="15" thickBot="1" x14ac:dyDescent="0.4">
      <c r="C18" s="8" t="s">
        <v>3</v>
      </c>
      <c r="D18" s="80"/>
      <c r="E18" s="16"/>
      <c r="F18" s="46">
        <v>1982692.95</v>
      </c>
    </row>
    <row r="19" spans="2:8" ht="16" thickBot="1" x14ac:dyDescent="0.4">
      <c r="C19" s="30" t="s">
        <v>12</v>
      </c>
      <c r="D19" s="21"/>
      <c r="E19" s="22">
        <f>SUM(E15:E18)</f>
        <v>0</v>
      </c>
      <c r="F19" s="76">
        <f>SUM(F15:F18)</f>
        <v>1982692.95</v>
      </c>
    </row>
    <row r="20" spans="2:8" ht="21.5" thickBot="1" x14ac:dyDescent="0.55000000000000004">
      <c r="C20" s="93" t="s">
        <v>13</v>
      </c>
      <c r="D20" s="95"/>
      <c r="E20" s="25">
        <f>SUM(E9+E14+E19)</f>
        <v>0</v>
      </c>
      <c r="F20" s="39">
        <f>SUM(F9+F14+F19)</f>
        <v>12021674.26</v>
      </c>
    </row>
    <row r="23" spans="2:8" ht="18.5" x14ac:dyDescent="0.45">
      <c r="G23" s="24"/>
    </row>
    <row r="25" spans="2:8" x14ac:dyDescent="0.35">
      <c r="B25" s="2"/>
    </row>
    <row r="26" spans="2:8" x14ac:dyDescent="0.35">
      <c r="B26" s="2"/>
    </row>
    <row r="27" spans="2:8" x14ac:dyDescent="0.35">
      <c r="B27" s="2"/>
    </row>
    <row r="28" spans="2:8" x14ac:dyDescent="0.35">
      <c r="B28" s="2"/>
    </row>
    <row r="29" spans="2:8" x14ac:dyDescent="0.35">
      <c r="B29" s="2"/>
    </row>
    <row r="30" spans="2:8" ht="18.5" x14ac:dyDescent="0.45">
      <c r="H30" s="36"/>
    </row>
    <row r="44" spans="2:7" ht="18.5" x14ac:dyDescent="0.45">
      <c r="G44" s="24"/>
    </row>
    <row r="46" spans="2:7" x14ac:dyDescent="0.35">
      <c r="B46" s="2"/>
    </row>
    <row r="47" spans="2:7" x14ac:dyDescent="0.35">
      <c r="B47" s="2"/>
    </row>
    <row r="48" spans="2:7" x14ac:dyDescent="0.35">
      <c r="B48" s="2"/>
    </row>
    <row r="49" spans="2:2" x14ac:dyDescent="0.35">
      <c r="B49" s="2"/>
    </row>
    <row r="50" spans="2:2" x14ac:dyDescent="0.35">
      <c r="B50" s="2"/>
    </row>
    <row r="194" ht="40" customHeight="1" x14ac:dyDescent="0.35"/>
  </sheetData>
  <mergeCells count="6">
    <mergeCell ref="C2:F2"/>
    <mergeCell ref="D5:D8"/>
    <mergeCell ref="B3:G3"/>
    <mergeCell ref="D10:D13"/>
    <mergeCell ref="D15:D18"/>
    <mergeCell ref="C20:D2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D699-C978-42E7-922C-BE118A11572B}">
  <sheetPr codeName="Sheet3"/>
  <dimension ref="C2:F21"/>
  <sheetViews>
    <sheetView workbookViewId="0">
      <selection activeCell="C2" sqref="C2:F2"/>
    </sheetView>
  </sheetViews>
  <sheetFormatPr defaultRowHeight="14.5" x14ac:dyDescent="0.35"/>
  <cols>
    <col min="2" max="2" width="8.7265625" customWidth="1"/>
    <col min="3" max="3" width="18.08984375" customWidth="1"/>
    <col min="4" max="4" width="17.26953125" customWidth="1"/>
    <col min="5" max="5" width="24.54296875" customWidth="1"/>
    <col min="6" max="6" width="26.1796875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2018</v>
      </c>
      <c r="D4" s="85"/>
      <c r="E4" s="85"/>
      <c r="F4" s="86"/>
    </row>
    <row r="5" spans="3:6" ht="15" thickBot="1" x14ac:dyDescent="0.4">
      <c r="C5" s="28" t="s">
        <v>6</v>
      </c>
      <c r="D5" s="18" t="s">
        <v>5</v>
      </c>
      <c r="E5" s="18" t="s">
        <v>8</v>
      </c>
      <c r="F5" s="28" t="s">
        <v>9</v>
      </c>
    </row>
    <row r="6" spans="3:6" x14ac:dyDescent="0.35">
      <c r="C6" s="6" t="s">
        <v>0</v>
      </c>
      <c r="D6" s="87" t="s">
        <v>7</v>
      </c>
      <c r="E6" s="12"/>
      <c r="F6" s="44">
        <v>7846936.4299999997</v>
      </c>
    </row>
    <row r="7" spans="3:6" x14ac:dyDescent="0.35">
      <c r="C7" s="7" t="s">
        <v>1</v>
      </c>
      <c r="D7" s="88"/>
      <c r="E7" s="13"/>
      <c r="F7" s="41">
        <v>8280963.5300000003</v>
      </c>
    </row>
    <row r="8" spans="3:6" x14ac:dyDescent="0.35">
      <c r="C8" s="7" t="s">
        <v>2</v>
      </c>
      <c r="D8" s="88"/>
      <c r="E8" s="13"/>
      <c r="F8" s="41">
        <v>7832679.3899999997</v>
      </c>
    </row>
    <row r="9" spans="3:6" ht="15" thickBot="1" x14ac:dyDescent="0.4">
      <c r="C9" s="8" t="s">
        <v>3</v>
      </c>
      <c r="D9" s="89"/>
      <c r="E9" s="14"/>
      <c r="F9" s="42">
        <v>8998795.4299999997</v>
      </c>
    </row>
    <row r="10" spans="3:6" ht="19" thickBot="1" x14ac:dyDescent="0.5">
      <c r="C10" s="29" t="s">
        <v>12</v>
      </c>
      <c r="D10" s="10"/>
      <c r="E10" s="19">
        <f>SUM(E6:E9)</f>
        <v>0</v>
      </c>
      <c r="F10" s="37">
        <f>SUM(F6:F9)</f>
        <v>32959374.780000001</v>
      </c>
    </row>
    <row r="11" spans="3:6" x14ac:dyDescent="0.35">
      <c r="C11" s="6" t="s">
        <v>0</v>
      </c>
      <c r="D11" s="78" t="s">
        <v>10</v>
      </c>
      <c r="E11" s="9"/>
      <c r="F11" s="44">
        <v>2200658.44</v>
      </c>
    </row>
    <row r="12" spans="3:6" x14ac:dyDescent="0.35">
      <c r="C12" s="7" t="s">
        <v>1</v>
      </c>
      <c r="D12" s="79"/>
      <c r="E12" s="15"/>
      <c r="F12" s="41">
        <v>2290842.06</v>
      </c>
    </row>
    <row r="13" spans="3:6" x14ac:dyDescent="0.35">
      <c r="C13" s="7" t="s">
        <v>2</v>
      </c>
      <c r="D13" s="79"/>
      <c r="E13" s="15"/>
      <c r="F13" s="41"/>
    </row>
    <row r="14" spans="3:6" ht="15" thickBot="1" x14ac:dyDescent="0.4">
      <c r="C14" s="8" t="s">
        <v>3</v>
      </c>
      <c r="D14" s="80"/>
      <c r="E14" s="16"/>
      <c r="F14" s="42">
        <v>2341351.5</v>
      </c>
    </row>
    <row r="15" spans="3:6" ht="19" thickBot="1" x14ac:dyDescent="0.5">
      <c r="C15" s="29" t="s">
        <v>12</v>
      </c>
      <c r="D15" s="10"/>
      <c r="E15" s="19">
        <f>SUM(E11:E14)</f>
        <v>0</v>
      </c>
      <c r="F15" s="38">
        <f>SUM(F11:F14)</f>
        <v>6832852</v>
      </c>
    </row>
    <row r="16" spans="3:6" x14ac:dyDescent="0.35">
      <c r="C16" s="6" t="s">
        <v>0</v>
      </c>
      <c r="D16" s="78" t="s">
        <v>11</v>
      </c>
      <c r="E16" s="9"/>
      <c r="F16" s="44">
        <v>1951912.17</v>
      </c>
    </row>
    <row r="17" spans="3:6" ht="15" thickBot="1" x14ac:dyDescent="0.4">
      <c r="C17" s="7" t="s">
        <v>1</v>
      </c>
      <c r="D17" s="79"/>
      <c r="E17" s="15"/>
      <c r="F17" s="42">
        <v>2594448.7000000002</v>
      </c>
    </row>
    <row r="18" spans="3:6" x14ac:dyDescent="0.35">
      <c r="C18" s="7" t="s">
        <v>2</v>
      </c>
      <c r="D18" s="79"/>
      <c r="E18" s="15"/>
      <c r="F18" s="4">
        <v>1000624.09</v>
      </c>
    </row>
    <row r="19" spans="3:6" ht="15" thickBot="1" x14ac:dyDescent="0.4">
      <c r="C19" s="8" t="s">
        <v>3</v>
      </c>
      <c r="D19" s="80"/>
      <c r="E19" s="16"/>
      <c r="F19" s="1">
        <v>1387730.26</v>
      </c>
    </row>
    <row r="20" spans="3:6" ht="19" thickBot="1" x14ac:dyDescent="0.5">
      <c r="C20" s="30" t="s">
        <v>12</v>
      </c>
      <c r="D20" s="21"/>
      <c r="E20" s="22">
        <f>SUM(E16:E19)</f>
        <v>0</v>
      </c>
      <c r="F20" s="40">
        <f>SUM(F16:F19)</f>
        <v>6934715.2199999997</v>
      </c>
    </row>
    <row r="21" spans="3:6" ht="21.5" thickBot="1" x14ac:dyDescent="0.55000000000000004">
      <c r="C21" s="93" t="s">
        <v>13</v>
      </c>
      <c r="D21" s="95"/>
      <c r="E21" s="25">
        <f>SUM(E10+E15+E20)</f>
        <v>0</v>
      </c>
      <c r="F21" s="39">
        <f>SUM(F10+F15+F20)</f>
        <v>46726942</v>
      </c>
    </row>
  </sheetData>
  <mergeCells count="6">
    <mergeCell ref="C2:F2"/>
    <mergeCell ref="D6:D9"/>
    <mergeCell ref="D11:D14"/>
    <mergeCell ref="D16:D19"/>
    <mergeCell ref="C4:F4"/>
    <mergeCell ref="C21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4C62-15E8-47D3-AAEC-0EC1C1898C46}">
  <sheetPr codeName="Sheet4"/>
  <dimension ref="C2:F21"/>
  <sheetViews>
    <sheetView workbookViewId="0">
      <selection activeCell="C4" sqref="C4:F21"/>
    </sheetView>
  </sheetViews>
  <sheetFormatPr defaultRowHeight="14.5" x14ac:dyDescent="0.35"/>
  <cols>
    <col min="3" max="3" width="18.90625" customWidth="1"/>
    <col min="4" max="4" width="15.90625" customWidth="1"/>
    <col min="5" max="5" width="21.54296875" customWidth="1"/>
    <col min="6" max="6" width="20.7265625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2019</v>
      </c>
      <c r="D4" s="85"/>
      <c r="E4" s="85"/>
      <c r="F4" s="86"/>
    </row>
    <row r="5" spans="3:6" ht="15" thickBot="1" x14ac:dyDescent="0.4">
      <c r="C5" s="28" t="s">
        <v>6</v>
      </c>
      <c r="D5" s="18" t="s">
        <v>5</v>
      </c>
      <c r="E5" s="18" t="s">
        <v>8</v>
      </c>
      <c r="F5" s="28" t="s">
        <v>9</v>
      </c>
    </row>
    <row r="6" spans="3:6" x14ac:dyDescent="0.35">
      <c r="C6" s="6" t="s">
        <v>0</v>
      </c>
      <c r="D6" s="87" t="s">
        <v>7</v>
      </c>
      <c r="E6" s="12"/>
      <c r="F6" s="48">
        <v>9422138.6799999997</v>
      </c>
    </row>
    <row r="7" spans="3:6" x14ac:dyDescent="0.35">
      <c r="C7" s="7" t="s">
        <v>1</v>
      </c>
      <c r="D7" s="88"/>
      <c r="E7" s="13"/>
      <c r="F7" s="41">
        <v>9722463.1300000008</v>
      </c>
    </row>
    <row r="8" spans="3:6" x14ac:dyDescent="0.35">
      <c r="C8" s="7" t="s">
        <v>2</v>
      </c>
      <c r="D8" s="88"/>
      <c r="E8" s="13"/>
      <c r="F8" s="41">
        <v>10345024.74</v>
      </c>
    </row>
    <row r="9" spans="3:6" ht="15" thickBot="1" x14ac:dyDescent="0.4">
      <c r="C9" s="8" t="s">
        <v>3</v>
      </c>
      <c r="D9" s="89"/>
      <c r="E9" s="14"/>
      <c r="F9" s="42">
        <v>10927092.32</v>
      </c>
    </row>
    <row r="10" spans="3:6" ht="16" thickBot="1" x14ac:dyDescent="0.4">
      <c r="C10" s="29" t="s">
        <v>12</v>
      </c>
      <c r="D10" s="10"/>
      <c r="E10" s="19">
        <f>SUM(E6:E9)</f>
        <v>0</v>
      </c>
      <c r="F10" s="43">
        <f>SUM(F6:F9)</f>
        <v>40416718.870000005</v>
      </c>
    </row>
    <row r="11" spans="3:6" x14ac:dyDescent="0.35">
      <c r="C11" s="6" t="s">
        <v>0</v>
      </c>
      <c r="D11" s="78" t="s">
        <v>10</v>
      </c>
      <c r="E11" s="9"/>
      <c r="F11" s="44">
        <v>2484529.5699999998</v>
      </c>
    </row>
    <row r="12" spans="3:6" x14ac:dyDescent="0.35">
      <c r="C12" s="7" t="s">
        <v>1</v>
      </c>
      <c r="D12" s="79"/>
      <c r="E12" s="15"/>
      <c r="F12" s="41">
        <v>2214299.8199999998</v>
      </c>
    </row>
    <row r="13" spans="3:6" x14ac:dyDescent="0.35">
      <c r="C13" s="7" t="s">
        <v>2</v>
      </c>
      <c r="D13" s="79"/>
      <c r="E13" s="15"/>
      <c r="F13" s="41">
        <v>2116004.5</v>
      </c>
    </row>
    <row r="14" spans="3:6" ht="15" thickBot="1" x14ac:dyDescent="0.4">
      <c r="C14" s="8" t="s">
        <v>3</v>
      </c>
      <c r="D14" s="80"/>
      <c r="E14" s="16"/>
      <c r="F14" s="42">
        <v>2035209.82</v>
      </c>
    </row>
    <row r="15" spans="3:6" ht="16" thickBot="1" x14ac:dyDescent="0.4">
      <c r="C15" s="29" t="s">
        <v>12</v>
      </c>
      <c r="D15" s="10"/>
      <c r="E15" s="19">
        <f>SUM(E11:E14)</f>
        <v>0</v>
      </c>
      <c r="F15" s="34">
        <f>SUM(F11:F14)</f>
        <v>8850043.709999999</v>
      </c>
    </row>
    <row r="16" spans="3:6" x14ac:dyDescent="0.35">
      <c r="C16" s="6" t="s">
        <v>0</v>
      </c>
      <c r="D16" s="78" t="s">
        <v>11</v>
      </c>
      <c r="E16" s="9"/>
      <c r="F16" s="9"/>
    </row>
    <row r="17" spans="3:6" x14ac:dyDescent="0.35">
      <c r="C17" s="7" t="s">
        <v>1</v>
      </c>
      <c r="D17" s="79"/>
      <c r="E17" s="15"/>
      <c r="F17" s="41">
        <v>1580495.85</v>
      </c>
    </row>
    <row r="18" spans="3:6" x14ac:dyDescent="0.35">
      <c r="C18" s="7" t="s">
        <v>2</v>
      </c>
      <c r="D18" s="79"/>
      <c r="E18" s="15"/>
      <c r="F18" s="41">
        <v>1511944.82</v>
      </c>
    </row>
    <row r="19" spans="3:6" ht="15" thickBot="1" x14ac:dyDescent="0.4">
      <c r="C19" s="8" t="s">
        <v>3</v>
      </c>
      <c r="D19" s="80"/>
      <c r="E19" s="16"/>
      <c r="F19" s="42">
        <v>1539484.78</v>
      </c>
    </row>
    <row r="20" spans="3:6" ht="16" thickBot="1" x14ac:dyDescent="0.4">
      <c r="C20" s="30" t="s">
        <v>12</v>
      </c>
      <c r="D20" s="21"/>
      <c r="E20" s="22">
        <f>SUM(E16:E19)</f>
        <v>0</v>
      </c>
      <c r="F20" s="49">
        <f>SUM(F16:F19)</f>
        <v>4631925.45</v>
      </c>
    </row>
    <row r="21" spans="3:6" ht="21.5" thickBot="1" x14ac:dyDescent="0.55000000000000004">
      <c r="C21" s="93" t="s">
        <v>13</v>
      </c>
      <c r="D21" s="95"/>
      <c r="E21" s="25">
        <f>SUM(E10+E15+E20)</f>
        <v>0</v>
      </c>
      <c r="F21" s="39">
        <f>SUM(F10+F15+F20)</f>
        <v>53898688.030000009</v>
      </c>
    </row>
  </sheetData>
  <mergeCells count="6">
    <mergeCell ref="C2:F2"/>
    <mergeCell ref="C4:F4"/>
    <mergeCell ref="C21:D21"/>
    <mergeCell ref="D6:D9"/>
    <mergeCell ref="D11:D14"/>
    <mergeCell ref="D16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5901-CE25-44C1-B202-DDC9CE0BD94D}">
  <sheetPr codeName="Sheet5"/>
  <dimension ref="C2:F21"/>
  <sheetViews>
    <sheetView workbookViewId="0">
      <selection activeCell="C2" sqref="C2:F2"/>
    </sheetView>
  </sheetViews>
  <sheetFormatPr defaultRowHeight="14.5" x14ac:dyDescent="0.35"/>
  <cols>
    <col min="3" max="3" width="18.7265625" customWidth="1"/>
    <col min="4" max="4" width="17.36328125" customWidth="1"/>
    <col min="5" max="5" width="12.54296875" customWidth="1"/>
    <col min="6" max="6" width="34.7265625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2020</v>
      </c>
      <c r="D4" s="85"/>
      <c r="E4" s="85"/>
      <c r="F4" s="86"/>
    </row>
    <row r="5" spans="3:6" ht="15" thickBot="1" x14ac:dyDescent="0.4">
      <c r="C5" s="27" t="s">
        <v>6</v>
      </c>
      <c r="D5" s="15" t="s">
        <v>5</v>
      </c>
      <c r="E5" s="15" t="s">
        <v>8</v>
      </c>
      <c r="F5" s="27" t="s">
        <v>9</v>
      </c>
    </row>
    <row r="6" spans="3:6" x14ac:dyDescent="0.35">
      <c r="C6" s="6" t="s">
        <v>0</v>
      </c>
      <c r="D6" s="87" t="s">
        <v>7</v>
      </c>
      <c r="E6" s="12"/>
      <c r="F6" s="44">
        <v>11227003.32</v>
      </c>
    </row>
    <row r="7" spans="3:6" x14ac:dyDescent="0.35">
      <c r="C7" s="7" t="s">
        <v>1</v>
      </c>
      <c r="D7" s="88"/>
      <c r="E7" s="13"/>
      <c r="F7" s="41">
        <v>11438496.17</v>
      </c>
    </row>
    <row r="8" spans="3:6" x14ac:dyDescent="0.35">
      <c r="C8" s="7" t="s">
        <v>2</v>
      </c>
      <c r="D8" s="88"/>
      <c r="E8" s="13"/>
      <c r="F8" s="41">
        <v>11692882.84</v>
      </c>
    </row>
    <row r="9" spans="3:6" ht="15" thickBot="1" x14ac:dyDescent="0.4">
      <c r="C9" s="8" t="s">
        <v>3</v>
      </c>
      <c r="D9" s="89"/>
      <c r="E9" s="14"/>
      <c r="F9" s="42">
        <v>11794390</v>
      </c>
    </row>
    <row r="10" spans="3:6" ht="16" thickBot="1" x14ac:dyDescent="0.4">
      <c r="C10" s="17" t="s">
        <v>12</v>
      </c>
      <c r="D10" s="10"/>
      <c r="E10" s="19">
        <f>SUM(E6:E9)</f>
        <v>0</v>
      </c>
      <c r="F10" s="43">
        <f>SUM(F6:F9)</f>
        <v>46152772.329999998</v>
      </c>
    </row>
    <row r="11" spans="3:6" x14ac:dyDescent="0.35">
      <c r="C11" s="6" t="s">
        <v>0</v>
      </c>
      <c r="D11" s="78" t="s">
        <v>10</v>
      </c>
      <c r="E11" s="9"/>
      <c r="F11" s="44">
        <v>2159699.33</v>
      </c>
    </row>
    <row r="12" spans="3:6" x14ac:dyDescent="0.35">
      <c r="C12" s="7" t="s">
        <v>1</v>
      </c>
      <c r="D12" s="79"/>
      <c r="E12" s="15"/>
      <c r="F12" s="41">
        <v>2018156.24</v>
      </c>
    </row>
    <row r="13" spans="3:6" x14ac:dyDescent="0.35">
      <c r="C13" s="7" t="s">
        <v>2</v>
      </c>
      <c r="D13" s="79"/>
      <c r="E13" s="15"/>
      <c r="F13" s="41">
        <v>2102243.5499999998</v>
      </c>
    </row>
    <row r="14" spans="3:6" ht="15" thickBot="1" x14ac:dyDescent="0.4">
      <c r="C14" s="8" t="s">
        <v>3</v>
      </c>
      <c r="D14" s="80"/>
      <c r="E14" s="16"/>
      <c r="F14" s="42">
        <v>2275277.81</v>
      </c>
    </row>
    <row r="15" spans="3:6" ht="16" thickBot="1" x14ac:dyDescent="0.4">
      <c r="C15" s="17" t="s">
        <v>12</v>
      </c>
      <c r="D15" s="10"/>
      <c r="E15" s="19">
        <f>SUM(E11:E14)</f>
        <v>0</v>
      </c>
      <c r="F15" s="34">
        <f>SUM(F11:F14)</f>
        <v>8555376.9299999997</v>
      </c>
    </row>
    <row r="16" spans="3:6" ht="15.5" x14ac:dyDescent="0.35">
      <c r="C16" s="6" t="s">
        <v>0</v>
      </c>
      <c r="D16" s="78" t="s">
        <v>11</v>
      </c>
      <c r="E16" s="9"/>
      <c r="F16" s="73">
        <v>1699952.69</v>
      </c>
    </row>
    <row r="17" spans="3:6" ht="15.5" x14ac:dyDescent="0.35">
      <c r="C17" s="7" t="s">
        <v>1</v>
      </c>
      <c r="D17" s="79"/>
      <c r="E17" s="15"/>
      <c r="F17" s="74">
        <v>1471491.94</v>
      </c>
    </row>
    <row r="18" spans="3:6" ht="15.5" x14ac:dyDescent="0.35">
      <c r="C18" s="7" t="s">
        <v>2</v>
      </c>
      <c r="D18" s="79"/>
      <c r="E18" s="15"/>
      <c r="F18" s="74">
        <v>653898.4</v>
      </c>
    </row>
    <row r="19" spans="3:6" ht="16" thickBot="1" x14ac:dyDescent="0.4">
      <c r="C19" s="8" t="s">
        <v>3</v>
      </c>
      <c r="D19" s="80"/>
      <c r="E19" s="16"/>
      <c r="F19" s="75">
        <v>2411752.9300000002</v>
      </c>
    </row>
    <row r="20" spans="3:6" ht="16" thickBot="1" x14ac:dyDescent="0.4">
      <c r="C20" s="20" t="s">
        <v>12</v>
      </c>
      <c r="D20" s="21"/>
      <c r="E20" s="22">
        <f>SUM(E16:E19)</f>
        <v>0</v>
      </c>
      <c r="F20" s="67">
        <f>SUM(F16+F17+F18+F19)</f>
        <v>6237095.96</v>
      </c>
    </row>
    <row r="21" spans="3:6" ht="21.5" thickBot="1" x14ac:dyDescent="0.55000000000000004">
      <c r="C21" s="93" t="s">
        <v>13</v>
      </c>
      <c r="D21" s="94"/>
      <c r="E21" s="25">
        <f>SUM(E10+E15+E20)</f>
        <v>0</v>
      </c>
      <c r="F21" s="39">
        <f>SUM(F10+F15+F20)</f>
        <v>60945245.219999999</v>
      </c>
    </row>
  </sheetData>
  <mergeCells count="6">
    <mergeCell ref="C2:F2"/>
    <mergeCell ref="C4:F4"/>
    <mergeCell ref="D6:D9"/>
    <mergeCell ref="C21:D21"/>
    <mergeCell ref="D11:D14"/>
    <mergeCell ref="D16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C366-124B-44B0-8916-7067FD4D38AB}">
  <sheetPr codeName="Sheet6"/>
  <dimension ref="C2:F21"/>
  <sheetViews>
    <sheetView workbookViewId="0">
      <selection activeCell="C2" sqref="C2:F2"/>
    </sheetView>
  </sheetViews>
  <sheetFormatPr defaultRowHeight="14.5" x14ac:dyDescent="0.35"/>
  <cols>
    <col min="3" max="3" width="15.54296875" customWidth="1"/>
    <col min="4" max="4" width="18.81640625" customWidth="1"/>
    <col min="5" max="5" width="19.7265625" customWidth="1"/>
    <col min="6" max="6" width="23.08984375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2021</v>
      </c>
      <c r="D4" s="85"/>
      <c r="E4" s="85"/>
      <c r="F4" s="86"/>
    </row>
    <row r="5" spans="3:6" ht="15" thickBot="1" x14ac:dyDescent="0.4">
      <c r="C5" s="27" t="s">
        <v>6</v>
      </c>
      <c r="D5" s="15" t="s">
        <v>5</v>
      </c>
      <c r="E5" s="15" t="s">
        <v>8</v>
      </c>
      <c r="F5" s="27" t="s">
        <v>9</v>
      </c>
    </row>
    <row r="6" spans="3:6" ht="15" thickBot="1" x14ac:dyDescent="0.4">
      <c r="C6" s="27" t="s">
        <v>0</v>
      </c>
      <c r="D6" s="87" t="s">
        <v>7</v>
      </c>
      <c r="E6" s="12"/>
      <c r="F6" s="44">
        <v>13061511.98</v>
      </c>
    </row>
    <row r="7" spans="3:6" x14ac:dyDescent="0.35">
      <c r="C7" s="31" t="s">
        <v>1</v>
      </c>
      <c r="D7" s="88"/>
      <c r="E7" s="13"/>
      <c r="F7" s="41">
        <v>14169517.619999999</v>
      </c>
    </row>
    <row r="8" spans="3:6" x14ac:dyDescent="0.35">
      <c r="C8" s="7" t="s">
        <v>2</v>
      </c>
      <c r="D8" s="88"/>
      <c r="E8" s="13"/>
      <c r="F8" s="41">
        <v>14664614.99</v>
      </c>
    </row>
    <row r="9" spans="3:6" ht="15" thickBot="1" x14ac:dyDescent="0.4">
      <c r="C9" s="8" t="s">
        <v>3</v>
      </c>
      <c r="D9" s="89"/>
      <c r="E9" s="14"/>
      <c r="F9" s="42">
        <v>16274441.41</v>
      </c>
    </row>
    <row r="10" spans="3:6" ht="16" thickBot="1" x14ac:dyDescent="0.4">
      <c r="C10" s="17" t="s">
        <v>12</v>
      </c>
      <c r="D10" s="10"/>
      <c r="E10" s="19">
        <f>SUM(E6:E9)</f>
        <v>0</v>
      </c>
      <c r="F10" s="43">
        <f>SUM(F6:F9)</f>
        <v>58170086</v>
      </c>
    </row>
    <row r="11" spans="3:6" x14ac:dyDescent="0.35">
      <c r="C11" s="6" t="s">
        <v>0</v>
      </c>
      <c r="D11" s="78" t="s">
        <v>10</v>
      </c>
      <c r="E11" s="9"/>
      <c r="F11" s="44">
        <v>2328123.39</v>
      </c>
    </row>
    <row r="12" spans="3:6" x14ac:dyDescent="0.35">
      <c r="C12" s="7" t="s">
        <v>1</v>
      </c>
      <c r="D12" s="79"/>
      <c r="E12" s="15"/>
      <c r="F12" s="41"/>
    </row>
    <row r="13" spans="3:6" x14ac:dyDescent="0.35">
      <c r="C13" s="7" t="s">
        <v>2</v>
      </c>
      <c r="D13" s="79"/>
      <c r="E13" s="15"/>
      <c r="F13" s="41">
        <v>2590178.65</v>
      </c>
    </row>
    <row r="14" spans="3:6" ht="15" thickBot="1" x14ac:dyDescent="0.4">
      <c r="C14" s="8" t="s">
        <v>3</v>
      </c>
      <c r="D14" s="80"/>
      <c r="E14" s="16"/>
      <c r="F14" s="42"/>
    </row>
    <row r="15" spans="3:6" ht="16" thickBot="1" x14ac:dyDescent="0.4">
      <c r="C15" s="17" t="s">
        <v>12</v>
      </c>
      <c r="D15" s="68"/>
      <c r="E15" s="71">
        <f>SUM(E11:E14)</f>
        <v>0</v>
      </c>
      <c r="F15" s="43">
        <f>SUM(F11:F14)</f>
        <v>4918302.04</v>
      </c>
    </row>
    <row r="16" spans="3:6" x14ac:dyDescent="0.35">
      <c r="C16" s="6" t="s">
        <v>0</v>
      </c>
      <c r="D16" s="90" t="s">
        <v>11</v>
      </c>
      <c r="E16" s="12"/>
      <c r="F16" s="44">
        <v>1512276.04</v>
      </c>
    </row>
    <row r="17" spans="3:6" x14ac:dyDescent="0.35">
      <c r="C17" s="7" t="s">
        <v>1</v>
      </c>
      <c r="D17" s="91"/>
      <c r="E17" s="13"/>
      <c r="F17" s="41">
        <v>2525325.2799999998</v>
      </c>
    </row>
    <row r="18" spans="3:6" x14ac:dyDescent="0.35">
      <c r="C18" s="7" t="s">
        <v>2</v>
      </c>
      <c r="D18" s="91"/>
      <c r="E18" s="41"/>
      <c r="F18" s="13"/>
    </row>
    <row r="19" spans="3:6" ht="15" thickBot="1" x14ac:dyDescent="0.4">
      <c r="C19" s="8" t="s">
        <v>3</v>
      </c>
      <c r="D19" s="92"/>
      <c r="E19" s="42"/>
      <c r="F19" s="14"/>
    </row>
    <row r="20" spans="3:6" ht="16" thickBot="1" x14ac:dyDescent="0.4">
      <c r="C20" s="20" t="s">
        <v>12</v>
      </c>
      <c r="D20" s="27"/>
      <c r="E20" s="70"/>
      <c r="F20" s="72">
        <f>SUM(F16+F17+F18+F19)</f>
        <v>4037601.32</v>
      </c>
    </row>
    <row r="21" spans="3:6" ht="21.5" thickBot="1" x14ac:dyDescent="0.55000000000000004">
      <c r="C21" s="93" t="s">
        <v>13</v>
      </c>
      <c r="D21" s="94"/>
      <c r="E21" s="55">
        <f>SUM(E10+E15+E20)</f>
        <v>0</v>
      </c>
      <c r="F21" s="39">
        <f>SUM(F10+F15+F20)</f>
        <v>67125989.359999999</v>
      </c>
    </row>
  </sheetData>
  <mergeCells count="6">
    <mergeCell ref="C2:F2"/>
    <mergeCell ref="D6:D9"/>
    <mergeCell ref="C4:F4"/>
    <mergeCell ref="D11:D14"/>
    <mergeCell ref="D16:D19"/>
    <mergeCell ref="C21:D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3286-5339-4196-8AE0-7E19C0AD6B4D}">
  <sheetPr codeName="Sheet7"/>
  <dimension ref="C2:F21"/>
  <sheetViews>
    <sheetView workbookViewId="0">
      <selection activeCell="C2" sqref="C2:F2"/>
    </sheetView>
  </sheetViews>
  <sheetFormatPr defaultRowHeight="14.5" x14ac:dyDescent="0.35"/>
  <cols>
    <col min="3" max="3" width="20.81640625" customWidth="1"/>
    <col min="4" max="4" width="16" customWidth="1"/>
    <col min="5" max="5" width="19.6328125" customWidth="1"/>
    <col min="6" max="6" width="25.26953125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2022</v>
      </c>
      <c r="D4" s="85"/>
      <c r="E4" s="85"/>
      <c r="F4" s="86"/>
    </row>
    <row r="5" spans="3:6" ht="15" thickBot="1" x14ac:dyDescent="0.4">
      <c r="C5" s="27" t="s">
        <v>6</v>
      </c>
      <c r="D5" s="15" t="s">
        <v>5</v>
      </c>
      <c r="E5" s="15" t="s">
        <v>8</v>
      </c>
      <c r="F5" s="27" t="s">
        <v>9</v>
      </c>
    </row>
    <row r="6" spans="3:6" x14ac:dyDescent="0.35">
      <c r="C6" s="6" t="s">
        <v>0</v>
      </c>
      <c r="D6" s="87" t="s">
        <v>7</v>
      </c>
      <c r="E6" s="12"/>
      <c r="F6" s="45">
        <v>18220931.940000001</v>
      </c>
    </row>
    <row r="7" spans="3:6" x14ac:dyDescent="0.35">
      <c r="C7" s="7" t="s">
        <v>1</v>
      </c>
      <c r="D7" s="88"/>
      <c r="E7" s="13"/>
      <c r="F7" s="41">
        <v>17828525.48</v>
      </c>
    </row>
    <row r="8" spans="3:6" x14ac:dyDescent="0.35">
      <c r="C8" s="7" t="s">
        <v>2</v>
      </c>
      <c r="D8" s="88"/>
      <c r="E8" s="13"/>
      <c r="F8" s="41">
        <v>21038145.09</v>
      </c>
    </row>
    <row r="9" spans="3:6" ht="15" thickBot="1" x14ac:dyDescent="0.4">
      <c r="C9" s="8" t="s">
        <v>3</v>
      </c>
      <c r="D9" s="89"/>
      <c r="E9" s="14"/>
      <c r="F9" s="42">
        <v>22081868.48</v>
      </c>
    </row>
    <row r="10" spans="3:6" ht="16" thickBot="1" x14ac:dyDescent="0.4">
      <c r="C10" s="17" t="s">
        <v>12</v>
      </c>
      <c r="D10" s="10"/>
      <c r="E10" s="19">
        <f>SUM(E6:E9)</f>
        <v>0</v>
      </c>
      <c r="F10" s="43">
        <f>SUM(F6:F9)</f>
        <v>79169470.99000001</v>
      </c>
    </row>
    <row r="11" spans="3:6" x14ac:dyDescent="0.35">
      <c r="C11" s="6" t="s">
        <v>0</v>
      </c>
      <c r="D11" s="78" t="s">
        <v>10</v>
      </c>
      <c r="E11" s="81">
        <v>13962470</v>
      </c>
      <c r="F11" s="44">
        <v>2720979.07</v>
      </c>
    </row>
    <row r="12" spans="3:6" x14ac:dyDescent="0.35">
      <c r="C12" s="7" t="s">
        <v>1</v>
      </c>
      <c r="D12" s="79"/>
      <c r="E12" s="82"/>
      <c r="F12" s="41">
        <v>2799801.34</v>
      </c>
    </row>
    <row r="13" spans="3:6" x14ac:dyDescent="0.35">
      <c r="C13" s="7" t="s">
        <v>2</v>
      </c>
      <c r="D13" s="79"/>
      <c r="E13" s="82"/>
      <c r="F13" s="41">
        <v>2876555.84</v>
      </c>
    </row>
    <row r="14" spans="3:6" ht="15" thickBot="1" x14ac:dyDescent="0.4">
      <c r="C14" s="8" t="s">
        <v>3</v>
      </c>
      <c r="D14" s="80"/>
      <c r="E14" s="83"/>
      <c r="F14" s="42"/>
    </row>
    <row r="15" spans="3:6" ht="16" thickBot="1" x14ac:dyDescent="0.4">
      <c r="C15" s="17" t="s">
        <v>12</v>
      </c>
      <c r="D15" s="10"/>
      <c r="E15" s="47">
        <f>SUM(E11)</f>
        <v>13962470</v>
      </c>
      <c r="F15" s="34">
        <f>SUM(F11:F14)</f>
        <v>8397336.25</v>
      </c>
    </row>
    <row r="16" spans="3:6" x14ac:dyDescent="0.35">
      <c r="C16" s="6" t="s">
        <v>0</v>
      </c>
      <c r="D16" s="78" t="s">
        <v>11</v>
      </c>
      <c r="E16" s="9"/>
      <c r="F16" s="3"/>
    </row>
    <row r="17" spans="3:6" x14ac:dyDescent="0.35">
      <c r="C17" s="7" t="s">
        <v>1</v>
      </c>
      <c r="D17" s="79"/>
      <c r="E17" s="15"/>
      <c r="F17" s="4"/>
    </row>
    <row r="18" spans="3:6" x14ac:dyDescent="0.35">
      <c r="C18" s="7" t="s">
        <v>2</v>
      </c>
      <c r="D18" s="79"/>
      <c r="E18" s="15"/>
      <c r="F18" s="4"/>
    </row>
    <row r="19" spans="3:6" ht="15" thickBot="1" x14ac:dyDescent="0.4">
      <c r="C19" s="8" t="s">
        <v>3</v>
      </c>
      <c r="D19" s="80"/>
      <c r="E19" s="16"/>
      <c r="F19" s="5"/>
    </row>
    <row r="20" spans="3:6" ht="16" thickBot="1" x14ac:dyDescent="0.4">
      <c r="C20" s="20" t="s">
        <v>12</v>
      </c>
      <c r="D20" s="21"/>
      <c r="E20" s="22">
        <f>SUM(E16:E19)</f>
        <v>0</v>
      </c>
      <c r="F20" s="23">
        <f>SUM(F16:F19)</f>
        <v>0</v>
      </c>
    </row>
    <row r="21" spans="3:6" ht="21.5" thickBot="1" x14ac:dyDescent="0.55000000000000004">
      <c r="C21" s="93" t="s">
        <v>13</v>
      </c>
      <c r="D21" s="94"/>
      <c r="E21" s="55">
        <f>SUM(E10+E15+E20)</f>
        <v>13962470</v>
      </c>
      <c r="F21" s="39">
        <f>SUM(F10+F15+F20)</f>
        <v>87566807.24000001</v>
      </c>
    </row>
  </sheetData>
  <mergeCells count="7">
    <mergeCell ref="C2:F2"/>
    <mergeCell ref="C4:F4"/>
    <mergeCell ref="D6:D9"/>
    <mergeCell ref="D16:D19"/>
    <mergeCell ref="C21:D21"/>
    <mergeCell ref="D11:D14"/>
    <mergeCell ref="E11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14E6-5279-4B07-9404-7EC8DD01FDE0}">
  <sheetPr codeName="Sheet8"/>
  <dimension ref="C2:F21"/>
  <sheetViews>
    <sheetView workbookViewId="0">
      <selection activeCell="C2" sqref="C2:F2"/>
    </sheetView>
  </sheetViews>
  <sheetFormatPr defaultRowHeight="14.5" x14ac:dyDescent="0.35"/>
  <cols>
    <col min="3" max="3" width="14.54296875" customWidth="1"/>
    <col min="4" max="4" width="15.54296875" customWidth="1"/>
    <col min="5" max="5" width="22.26953125" customWidth="1"/>
    <col min="6" max="6" width="41.26953125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2023</v>
      </c>
      <c r="D4" s="85"/>
      <c r="E4" s="85"/>
      <c r="F4" s="86"/>
    </row>
    <row r="5" spans="3:6" ht="15" thickBot="1" x14ac:dyDescent="0.4">
      <c r="C5" s="27" t="s">
        <v>6</v>
      </c>
      <c r="D5" s="15" t="s">
        <v>5</v>
      </c>
      <c r="E5" s="15" t="s">
        <v>8</v>
      </c>
      <c r="F5" s="9" t="s">
        <v>9</v>
      </c>
    </row>
    <row r="6" spans="3:6" x14ac:dyDescent="0.35">
      <c r="C6" s="6" t="s">
        <v>0</v>
      </c>
      <c r="D6" s="87" t="s">
        <v>7</v>
      </c>
      <c r="E6" s="12"/>
      <c r="F6" s="41">
        <v>22594141.129999999</v>
      </c>
    </row>
    <row r="7" spans="3:6" x14ac:dyDescent="0.35">
      <c r="C7" s="7" t="s">
        <v>1</v>
      </c>
      <c r="D7" s="88"/>
      <c r="E7" s="13"/>
      <c r="F7" s="41">
        <v>25811410.579999998</v>
      </c>
    </row>
    <row r="8" spans="3:6" x14ac:dyDescent="0.35">
      <c r="C8" s="7" t="s">
        <v>2</v>
      </c>
      <c r="D8" s="88"/>
      <c r="E8" s="13"/>
      <c r="F8" s="41">
        <v>28148796.670000002</v>
      </c>
    </row>
    <row r="9" spans="3:6" ht="15" thickBot="1" x14ac:dyDescent="0.4">
      <c r="C9" s="8" t="s">
        <v>3</v>
      </c>
      <c r="D9" s="89"/>
      <c r="E9" s="14"/>
      <c r="F9" s="42">
        <v>27680564.949999999</v>
      </c>
    </row>
    <row r="10" spans="3:6" ht="16" thickBot="1" x14ac:dyDescent="0.4">
      <c r="C10" s="17" t="s">
        <v>12</v>
      </c>
      <c r="D10" s="10"/>
      <c r="E10" s="19">
        <f>SUM(E6:E9)</f>
        <v>0</v>
      </c>
      <c r="F10" s="43">
        <f>SUM(F6:F9)</f>
        <v>104234913.33</v>
      </c>
    </row>
    <row r="11" spans="3:6" x14ac:dyDescent="0.35">
      <c r="C11" s="6" t="s">
        <v>0</v>
      </c>
      <c r="D11" s="78" t="s">
        <v>10</v>
      </c>
      <c r="E11" s="81">
        <v>15837770</v>
      </c>
      <c r="F11" s="44">
        <v>664321.25</v>
      </c>
    </row>
    <row r="12" spans="3:6" x14ac:dyDescent="0.35">
      <c r="C12" s="7" t="s">
        <v>1</v>
      </c>
      <c r="D12" s="79"/>
      <c r="E12" s="82"/>
      <c r="F12" s="65">
        <v>4678500</v>
      </c>
    </row>
    <row r="13" spans="3:6" x14ac:dyDescent="0.35">
      <c r="C13" s="7" t="s">
        <v>2</v>
      </c>
      <c r="D13" s="79"/>
      <c r="E13" s="82"/>
      <c r="F13" s="41">
        <v>4635000</v>
      </c>
    </row>
    <row r="14" spans="3:6" ht="15" thickBot="1" x14ac:dyDescent="0.4">
      <c r="C14" s="8" t="s">
        <v>3</v>
      </c>
      <c r="D14" s="80"/>
      <c r="E14" s="83"/>
      <c r="F14" s="66">
        <v>5120325</v>
      </c>
    </row>
    <row r="15" spans="3:6" ht="16" thickBot="1" x14ac:dyDescent="0.4">
      <c r="C15" s="17" t="s">
        <v>12</v>
      </c>
      <c r="D15" s="10"/>
      <c r="E15" s="47">
        <f>SUM(E11)</f>
        <v>15837770</v>
      </c>
      <c r="F15" s="34">
        <f>SUM(F11:F14)</f>
        <v>15098146.25</v>
      </c>
    </row>
    <row r="16" spans="3:6" x14ac:dyDescent="0.35">
      <c r="C16" s="6" t="s">
        <v>0</v>
      </c>
      <c r="D16" s="78" t="s">
        <v>11</v>
      </c>
      <c r="E16" s="9"/>
      <c r="F16" s="3"/>
    </row>
    <row r="17" spans="3:6" x14ac:dyDescent="0.35">
      <c r="C17" s="7" t="s">
        <v>1</v>
      </c>
      <c r="D17" s="79"/>
      <c r="E17" s="15"/>
      <c r="F17" s="4"/>
    </row>
    <row r="18" spans="3:6" x14ac:dyDescent="0.35">
      <c r="C18" s="7" t="s">
        <v>2</v>
      </c>
      <c r="D18" s="79"/>
      <c r="E18" s="15"/>
      <c r="F18" s="4"/>
    </row>
    <row r="19" spans="3:6" ht="15" thickBot="1" x14ac:dyDescent="0.4">
      <c r="C19" s="8" t="s">
        <v>3</v>
      </c>
      <c r="D19" s="80"/>
      <c r="E19" s="16"/>
      <c r="F19" s="5"/>
    </row>
    <row r="20" spans="3:6" ht="16" thickBot="1" x14ac:dyDescent="0.4">
      <c r="C20" s="20" t="s">
        <v>12</v>
      </c>
      <c r="D20" s="21"/>
      <c r="E20" s="22">
        <f>SUM(E16:E19)</f>
        <v>0</v>
      </c>
      <c r="F20" s="23">
        <f>SUM(F16:F19)</f>
        <v>0</v>
      </c>
    </row>
    <row r="21" spans="3:6" ht="21.5" thickBot="1" x14ac:dyDescent="0.55000000000000004">
      <c r="C21" s="93" t="s">
        <v>13</v>
      </c>
      <c r="D21" s="94"/>
      <c r="E21" s="39">
        <f>SUM(E10+E15+E20)</f>
        <v>15837770</v>
      </c>
      <c r="F21" s="39">
        <f>SUM(F10+F15+F20)</f>
        <v>119333059.58</v>
      </c>
    </row>
  </sheetData>
  <mergeCells count="7">
    <mergeCell ref="C2:F2"/>
    <mergeCell ref="C4:F4"/>
    <mergeCell ref="D6:D9"/>
    <mergeCell ref="D11:D14"/>
    <mergeCell ref="D16:D19"/>
    <mergeCell ref="C21:D21"/>
    <mergeCell ref="E11:E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A091-782A-442C-8FEB-CD67194D227A}">
  <sheetPr codeName="Sheet9"/>
  <dimension ref="C2:F21"/>
  <sheetViews>
    <sheetView workbookViewId="0">
      <selection activeCell="C2" sqref="C2:F2"/>
    </sheetView>
  </sheetViews>
  <sheetFormatPr defaultRowHeight="14.5" x14ac:dyDescent="0.35"/>
  <cols>
    <col min="3" max="3" width="16.6328125" customWidth="1"/>
    <col min="4" max="4" width="17.26953125" customWidth="1"/>
    <col min="5" max="5" width="23" customWidth="1"/>
    <col min="6" max="6" width="31.1796875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2024</v>
      </c>
      <c r="D4" s="85"/>
      <c r="E4" s="85"/>
      <c r="F4" s="86"/>
    </row>
    <row r="5" spans="3:6" ht="15" thickBot="1" x14ac:dyDescent="0.4">
      <c r="C5" s="27" t="s">
        <v>6</v>
      </c>
      <c r="D5" s="15" t="s">
        <v>5</v>
      </c>
      <c r="E5" s="15" t="s">
        <v>8</v>
      </c>
      <c r="F5" s="27" t="s">
        <v>9</v>
      </c>
    </row>
    <row r="6" spans="3:6" x14ac:dyDescent="0.35">
      <c r="C6" s="6" t="s">
        <v>0</v>
      </c>
      <c r="D6" s="87" t="s">
        <v>7</v>
      </c>
      <c r="E6" s="12"/>
      <c r="F6" s="44">
        <v>28828054.079999998</v>
      </c>
    </row>
    <row r="7" spans="3:6" x14ac:dyDescent="0.35">
      <c r="C7" s="7" t="s">
        <v>1</v>
      </c>
      <c r="D7" s="88"/>
      <c r="E7" s="13"/>
      <c r="F7" s="41">
        <v>31156678.859999999</v>
      </c>
    </row>
    <row r="8" spans="3:6" x14ac:dyDescent="0.35">
      <c r="C8" s="7" t="s">
        <v>2</v>
      </c>
      <c r="D8" s="88"/>
      <c r="E8" s="13"/>
      <c r="F8" s="41">
        <v>34233220.93</v>
      </c>
    </row>
    <row r="9" spans="3:6" ht="15" thickBot="1" x14ac:dyDescent="0.4">
      <c r="C9" s="8" t="s">
        <v>3</v>
      </c>
      <c r="D9" s="89"/>
      <c r="E9" s="14"/>
      <c r="F9" s="42">
        <v>37431843.380000003</v>
      </c>
    </row>
    <row r="10" spans="3:6" ht="16" thickBot="1" x14ac:dyDescent="0.4">
      <c r="C10" s="17" t="s">
        <v>12</v>
      </c>
      <c r="D10" s="10"/>
      <c r="E10" s="19">
        <f>SUM(E6:E9)</f>
        <v>0</v>
      </c>
      <c r="F10" s="43">
        <f>SUM(F6:F9)</f>
        <v>131649797.25</v>
      </c>
    </row>
    <row r="11" spans="3:6" x14ac:dyDescent="0.35">
      <c r="C11" s="6" t="s">
        <v>0</v>
      </c>
      <c r="D11" s="78" t="s">
        <v>10</v>
      </c>
      <c r="E11" s="9"/>
      <c r="F11" s="44">
        <v>5000000</v>
      </c>
    </row>
    <row r="12" spans="3:6" x14ac:dyDescent="0.35">
      <c r="C12" s="7" t="s">
        <v>1</v>
      </c>
      <c r="D12" s="79"/>
      <c r="E12" s="15"/>
      <c r="F12" s="41">
        <v>5000000</v>
      </c>
    </row>
    <row r="13" spans="3:6" x14ac:dyDescent="0.35">
      <c r="C13" s="7" t="s">
        <v>2</v>
      </c>
      <c r="D13" s="79"/>
      <c r="E13" s="15"/>
      <c r="F13" s="41">
        <v>7326345</v>
      </c>
    </row>
    <row r="14" spans="3:6" ht="15" thickBot="1" x14ac:dyDescent="0.4">
      <c r="C14" s="8" t="s">
        <v>3</v>
      </c>
      <c r="D14" s="80"/>
      <c r="E14" s="16"/>
      <c r="F14" s="16"/>
    </row>
    <row r="15" spans="3:6" ht="16" thickBot="1" x14ac:dyDescent="0.4">
      <c r="C15" s="17" t="s">
        <v>12</v>
      </c>
      <c r="D15" s="10"/>
      <c r="E15" s="19">
        <f>SUM(E11:E14)</f>
        <v>0</v>
      </c>
      <c r="F15" s="34">
        <f>SUM(F11:F14)</f>
        <v>17326345</v>
      </c>
    </row>
    <row r="16" spans="3:6" x14ac:dyDescent="0.35">
      <c r="C16" s="6" t="s">
        <v>0</v>
      </c>
      <c r="D16" s="78" t="s">
        <v>11</v>
      </c>
      <c r="E16" s="9"/>
      <c r="F16" s="3"/>
    </row>
    <row r="17" spans="3:6" x14ac:dyDescent="0.35">
      <c r="C17" s="7" t="s">
        <v>1</v>
      </c>
      <c r="D17" s="79"/>
      <c r="E17" s="15"/>
      <c r="F17" s="4"/>
    </row>
    <row r="18" spans="3:6" x14ac:dyDescent="0.35">
      <c r="C18" s="7" t="s">
        <v>2</v>
      </c>
      <c r="D18" s="79"/>
      <c r="E18" s="15"/>
      <c r="F18" s="4"/>
    </row>
    <row r="19" spans="3:6" ht="15" thickBot="1" x14ac:dyDescent="0.4">
      <c r="C19" s="8" t="s">
        <v>3</v>
      </c>
      <c r="D19" s="80"/>
      <c r="E19" s="16"/>
      <c r="F19" s="5"/>
    </row>
    <row r="20" spans="3:6" ht="16" thickBot="1" x14ac:dyDescent="0.4">
      <c r="C20" s="99" t="s">
        <v>12</v>
      </c>
      <c r="D20" s="100"/>
      <c r="E20" s="71">
        <f>SUM(E16:E19)</f>
        <v>0</v>
      </c>
      <c r="F20" s="23">
        <f>SUM(F16:F19)</f>
        <v>0</v>
      </c>
    </row>
    <row r="21" spans="3:6" ht="21.5" thickBot="1" x14ac:dyDescent="0.55000000000000004">
      <c r="C21" s="93" t="s">
        <v>13</v>
      </c>
      <c r="D21" s="94"/>
      <c r="E21" s="25">
        <f>SUM(E10+E15+E20)</f>
        <v>0</v>
      </c>
      <c r="F21" s="39">
        <f>SUM(F10+F15+F20)</f>
        <v>148976142.25</v>
      </c>
    </row>
  </sheetData>
  <mergeCells count="7">
    <mergeCell ref="C2:F2"/>
    <mergeCell ref="C20:D20"/>
    <mergeCell ref="C21:D21"/>
    <mergeCell ref="C4:F4"/>
    <mergeCell ref="D6:D9"/>
    <mergeCell ref="D11:D14"/>
    <mergeCell ref="D16:D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47D2-B637-49DC-B60D-CA5B6268F611}">
  <sheetPr codeName="Sheet10"/>
  <dimension ref="C2:F21"/>
  <sheetViews>
    <sheetView workbookViewId="0">
      <selection activeCell="C2" sqref="C2:F2"/>
    </sheetView>
  </sheetViews>
  <sheetFormatPr defaultRowHeight="14.5" x14ac:dyDescent="0.35"/>
  <cols>
    <col min="3" max="3" width="22" customWidth="1"/>
    <col min="4" max="4" width="21" customWidth="1"/>
    <col min="5" max="5" width="24.7265625" customWidth="1"/>
    <col min="6" max="6" width="23" bestFit="1" customWidth="1"/>
  </cols>
  <sheetData>
    <row r="2" spans="3:6" x14ac:dyDescent="0.35">
      <c r="C2" s="101" t="s">
        <v>4</v>
      </c>
      <c r="D2" s="101"/>
      <c r="E2" s="101"/>
      <c r="F2" s="101"/>
    </row>
    <row r="3" spans="3:6" ht="15" thickBot="1" x14ac:dyDescent="0.4"/>
    <row r="4" spans="3:6" ht="19" thickBot="1" x14ac:dyDescent="0.5">
      <c r="C4" s="84">
        <v>2025</v>
      </c>
      <c r="D4" s="85"/>
      <c r="E4" s="85"/>
      <c r="F4" s="86"/>
    </row>
    <row r="5" spans="3:6" ht="15" thickBot="1" x14ac:dyDescent="0.4">
      <c r="C5" s="27" t="s">
        <v>6</v>
      </c>
      <c r="D5" s="15" t="s">
        <v>5</v>
      </c>
      <c r="E5" s="15" t="s">
        <v>8</v>
      </c>
      <c r="F5" s="27" t="s">
        <v>9</v>
      </c>
    </row>
    <row r="6" spans="3:6" x14ac:dyDescent="0.35">
      <c r="C6" s="6" t="s">
        <v>0</v>
      </c>
      <c r="D6" s="87" t="s">
        <v>7</v>
      </c>
      <c r="E6" s="12"/>
      <c r="F6" s="32">
        <v>39649917.520000003</v>
      </c>
    </row>
    <row r="7" spans="3:6" x14ac:dyDescent="0.35">
      <c r="C7" s="7" t="s">
        <v>1</v>
      </c>
      <c r="D7" s="88"/>
      <c r="E7" s="13"/>
      <c r="F7" s="33">
        <v>43774217.299999997</v>
      </c>
    </row>
    <row r="8" spans="3:6" x14ac:dyDescent="0.35">
      <c r="C8" s="7" t="s">
        <v>2</v>
      </c>
      <c r="D8" s="88"/>
      <c r="E8" s="13"/>
      <c r="F8" s="33">
        <v>45891380.049999997</v>
      </c>
    </row>
    <row r="9" spans="3:6" ht="15" thickBot="1" x14ac:dyDescent="0.4">
      <c r="C9" s="8" t="s">
        <v>3</v>
      </c>
      <c r="D9" s="89"/>
      <c r="E9" s="14"/>
      <c r="F9" s="11"/>
    </row>
    <row r="10" spans="3:6" ht="16" thickBot="1" x14ac:dyDescent="0.4">
      <c r="C10" s="17" t="s">
        <v>12</v>
      </c>
      <c r="D10" s="10"/>
      <c r="E10" s="19">
        <f>SUM(E6:E9)</f>
        <v>0</v>
      </c>
      <c r="F10" s="34">
        <f>SUM(F6+F7+F8+F9)</f>
        <v>129315514.86999999</v>
      </c>
    </row>
    <row r="11" spans="3:6" x14ac:dyDescent="0.35">
      <c r="C11" s="6" t="s">
        <v>0</v>
      </c>
      <c r="D11" s="78" t="s">
        <v>10</v>
      </c>
      <c r="E11" s="9"/>
      <c r="F11" s="3"/>
    </row>
    <row r="12" spans="3:6" x14ac:dyDescent="0.35">
      <c r="C12" s="7" t="s">
        <v>1</v>
      </c>
      <c r="D12" s="79"/>
      <c r="E12" s="15"/>
      <c r="F12" s="4"/>
    </row>
    <row r="13" spans="3:6" x14ac:dyDescent="0.35">
      <c r="C13" s="7" t="s">
        <v>2</v>
      </c>
      <c r="D13" s="79"/>
      <c r="E13" s="15"/>
      <c r="F13" s="4"/>
    </row>
    <row r="14" spans="3:6" ht="15" thickBot="1" x14ac:dyDescent="0.4">
      <c r="C14" s="8" t="s">
        <v>3</v>
      </c>
      <c r="D14" s="80"/>
      <c r="E14" s="16"/>
      <c r="F14" s="5"/>
    </row>
    <row r="15" spans="3:6" ht="16" thickBot="1" x14ac:dyDescent="0.4">
      <c r="C15" s="17" t="s">
        <v>12</v>
      </c>
      <c r="D15" s="10"/>
      <c r="E15" s="19">
        <f>SUM(E11:E14)</f>
        <v>0</v>
      </c>
      <c r="F15" s="35"/>
    </row>
    <row r="16" spans="3:6" x14ac:dyDescent="0.35">
      <c r="C16" s="6" t="s">
        <v>0</v>
      </c>
      <c r="D16" s="78" t="s">
        <v>11</v>
      </c>
      <c r="E16" s="9"/>
      <c r="F16" s="3"/>
    </row>
    <row r="17" spans="3:6" x14ac:dyDescent="0.35">
      <c r="C17" s="7" t="s">
        <v>1</v>
      </c>
      <c r="D17" s="79"/>
      <c r="E17" s="15"/>
      <c r="F17" s="4"/>
    </row>
    <row r="18" spans="3:6" x14ac:dyDescent="0.35">
      <c r="C18" s="7" t="s">
        <v>2</v>
      </c>
      <c r="D18" s="79"/>
      <c r="E18" s="15"/>
      <c r="F18" s="4"/>
    </row>
    <row r="19" spans="3:6" ht="15" thickBot="1" x14ac:dyDescent="0.4">
      <c r="C19" s="8" t="s">
        <v>3</v>
      </c>
      <c r="D19" s="80"/>
      <c r="E19" s="16"/>
      <c r="F19" s="5"/>
    </row>
    <row r="20" spans="3:6" ht="16" thickBot="1" x14ac:dyDescent="0.4">
      <c r="C20" s="20" t="s">
        <v>12</v>
      </c>
      <c r="D20" s="21"/>
      <c r="E20" s="71">
        <f>SUM(E16:E19)</f>
        <v>0</v>
      </c>
      <c r="F20" s="23">
        <f>SUM(F16:F19)</f>
        <v>0</v>
      </c>
    </row>
    <row r="21" spans="3:6" ht="21.5" thickBot="1" x14ac:dyDescent="0.55000000000000004">
      <c r="C21" s="93" t="s">
        <v>13</v>
      </c>
      <c r="D21" s="94"/>
      <c r="E21" s="25">
        <f>SUM(E10+E15+E20)</f>
        <v>0</v>
      </c>
      <c r="F21" s="39">
        <f>SUM(F10+F15+F20)</f>
        <v>129315514.86999999</v>
      </c>
    </row>
  </sheetData>
  <mergeCells count="6">
    <mergeCell ref="C2:F2"/>
    <mergeCell ref="C21:D21"/>
    <mergeCell ref="D11:D14"/>
    <mergeCell ref="D16:D19"/>
    <mergeCell ref="C4:F4"/>
    <mergeCell ref="D6:D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F7EC-3FEB-4EAE-978E-C10CB359581B}">
  <sheetPr codeName="Sheet2"/>
  <dimension ref="A1:D6"/>
  <sheetViews>
    <sheetView tabSelected="1" workbookViewId="0">
      <selection sqref="A1:D1"/>
    </sheetView>
  </sheetViews>
  <sheetFormatPr defaultRowHeight="14.5" x14ac:dyDescent="0.35"/>
  <cols>
    <col min="1" max="1" width="18.6328125" bestFit="1" customWidth="1"/>
    <col min="2" max="2" width="19.81640625" bestFit="1" customWidth="1"/>
    <col min="3" max="3" width="21.36328125" bestFit="1" customWidth="1"/>
    <col min="4" max="4" width="31.90625" bestFit="1" customWidth="1"/>
  </cols>
  <sheetData>
    <row r="1" spans="1:4" ht="21.5" thickBot="1" x14ac:dyDescent="0.55000000000000004">
      <c r="A1" s="96" t="s">
        <v>17</v>
      </c>
      <c r="B1" s="97"/>
      <c r="C1" s="97"/>
      <c r="D1" s="98"/>
    </row>
    <row r="2" spans="1:4" ht="19" thickBot="1" x14ac:dyDescent="0.5">
      <c r="A2" s="57" t="s">
        <v>5</v>
      </c>
      <c r="B2" s="57" t="s">
        <v>14</v>
      </c>
      <c r="C2" s="59" t="s">
        <v>15</v>
      </c>
      <c r="D2" s="63" t="s">
        <v>18</v>
      </c>
    </row>
    <row r="3" spans="1:4" ht="19" thickBot="1" x14ac:dyDescent="0.5">
      <c r="A3" s="52" t="s">
        <v>7</v>
      </c>
      <c r="B3" s="58">
        <f>SUM('2017'!E9+'2018'!E10+'2019'!E10+'2020'!E10+'2021'!E10+'2022'!E10+'2023'!E10+'2024'!E10+'2025'!E10)</f>
        <v>0</v>
      </c>
      <c r="C3" s="60">
        <f>SUM('2017'!F9+'2018'!F10+'2019'!F10+'2020'!F10+'2021'!F10+'2022'!F10+'2023'!F10+'2024'!F10+'2025'!F10)</f>
        <v>629642485.57999992</v>
      </c>
      <c r="D3" s="51">
        <f>B3-C3</f>
        <v>-629642485.57999992</v>
      </c>
    </row>
    <row r="4" spans="1:4" ht="19" thickBot="1" x14ac:dyDescent="0.5">
      <c r="A4" s="52" t="s">
        <v>10</v>
      </c>
      <c r="B4" s="56">
        <f>SUM('2017'!E14+'2018'!E15+'2019'!E15+'2020'!E15+'2021'!E15+'2022'!E15+'2023'!E15+'2024'!E15+'2025'!E15)</f>
        <v>29800240</v>
      </c>
      <c r="C4" s="60">
        <f>SUM('2017'!F14+'2018'!F15+'2019'!F15+'2020'!F15+'2021'!F15+'2022'!F15+'2023'!F15+'2024'!F15+'2025'!F15)</f>
        <v>72443546.329999998</v>
      </c>
      <c r="D4" s="51">
        <f>B4-C4</f>
        <v>-42643306.329999998</v>
      </c>
    </row>
    <row r="5" spans="1:4" ht="19" thickBot="1" x14ac:dyDescent="0.5">
      <c r="A5" s="53" t="s">
        <v>11</v>
      </c>
      <c r="B5" s="77">
        <f>SUM('2017'!E19+'2018'!E20+'2019'!E20+'2020'!E20+'2021'!E20+'2022'!E20+'2023'!E20+'2024'!E20+'2025'!E20)</f>
        <v>0</v>
      </c>
      <c r="C5" s="61">
        <f>SUM('2017'!F19+'2018'!F20+'2019'!F20+'2020'!F20+'2021'!F20+'2022'!F20+'2023'!F20+'2024'!F20+'2025'!F20)</f>
        <v>23824030.900000002</v>
      </c>
      <c r="D5" s="54">
        <f>B5-C5</f>
        <v>-23824030.900000002</v>
      </c>
    </row>
    <row r="6" spans="1:4" ht="21.5" thickBot="1" x14ac:dyDescent="0.55000000000000004">
      <c r="A6" s="25" t="s">
        <v>16</v>
      </c>
      <c r="B6" s="55">
        <f>SUM(B3+B4+B5)</f>
        <v>29800240</v>
      </c>
      <c r="C6" s="62">
        <f>SUM(C3+C4+C5)</f>
        <v>725910062.80999994</v>
      </c>
      <c r="D6" s="55">
        <f>SUM(D3+D4+D5)</f>
        <v>-696109822.80999994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SETTOP BILLIONAIRE</dc:creator>
  <cp:lastModifiedBy>Clive E. Barton-Odro</cp:lastModifiedBy>
  <dcterms:created xsi:type="dcterms:W3CDTF">2026-04-28T08:38:15Z</dcterms:created>
  <dcterms:modified xsi:type="dcterms:W3CDTF">2026-04-30T12:54:02Z</dcterms:modified>
</cp:coreProperties>
</file>