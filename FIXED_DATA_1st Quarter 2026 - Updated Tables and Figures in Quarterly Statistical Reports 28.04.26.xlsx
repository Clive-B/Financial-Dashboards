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thur\Documents\Data\Quaterly Reports\Data\"/>
    </mc:Choice>
  </mc:AlternateContent>
  <xr:revisionPtr revIDLastSave="0" documentId="8_{3181E984-F74C-4139-AE5F-0B7FF25BF059}" xr6:coauthVersionLast="47" xr6:coauthVersionMax="47" xr10:uidLastSave="{00000000-0000-0000-0000-000000000000}"/>
  <bookViews>
    <workbookView xWindow="1450" yWindow="640" windowWidth="14510" windowHeight="10480" firstSheet="7" activeTab="7" xr2:uid="{48B2AD77-C6C2-DC48-B43C-E242C6807AD0}"/>
  </bookViews>
  <sheets>
    <sheet name="24. Fixed Voice &amp; Pen Rate" sheetId="25" r:id="rId1"/>
    <sheet name="25. Fixed Voice Traffic" sheetId="26" r:id="rId2"/>
    <sheet name="26. Fixed Voice MoU" sheetId="27" r:id="rId3"/>
    <sheet name="27. Fixed Line Data &amp;Pen Rate" sheetId="28" r:id="rId4"/>
    <sheet name="28. Fixed Network per Operator" sheetId="29" r:id="rId5"/>
    <sheet name="29. Fixed Broadband Subs" sheetId="30" r:id="rId6"/>
    <sheet name="30. Fixed BB per operator" sheetId="31" r:id="rId7"/>
    <sheet name="31. Fixed Broadband Traffic" sheetId="32" r:id="rId8"/>
  </sheets>
  <externalReferences>
    <externalReference r:id="rId9"/>
    <externalReference r:id="rId10"/>
  </externalReferences>
  <definedNames>
    <definedName name="__123Graph_B" hidden="1">'[1]F&amp;F'!#REF!</definedName>
    <definedName name="__123Graph_BCURRENT" hidden="1">'[1]F&amp;F'!#REF!</definedName>
    <definedName name="_Fill" hidden="1">'[1]F&amp;F'!#REF!</definedName>
    <definedName name="_Key1" hidden="1">'[1]F&amp;F'!#REF!</definedName>
    <definedName name="_Key2" hidden="1">'[1]F&amp;F'!#REF!</definedName>
    <definedName name="_NewNewNnew">#REF!</definedName>
    <definedName name="_Order1" hidden="1">255</definedName>
    <definedName name="_Order2" hidden="1">255</definedName>
    <definedName name="_Sort" hidden="1">'[1]F&amp;F'!#REF!</definedName>
    <definedName name="_telecos1" hidden="1">'[1]F&amp;F'!#REF!</definedName>
    <definedName name="abc" hidden="1">{#N/A,#N/A,FALSE,"Sensitivity"}</definedName>
    <definedName name="abccc" hidden="1">{#N/A,#N/A,FALSE,"Sensitivity"}</definedName>
    <definedName name="abcd" hidden="1">{#N/A,#N/A,FALSE,"Sensitivity"}</definedName>
    <definedName name="ASS" hidden="1">{#N/A,#N/A,FALSE,"Sensitivity"}</definedName>
    <definedName name="CostPoolTotals">#REF!</definedName>
    <definedName name="ForecastYears">#N/A</definedName>
    <definedName name="HistoryYears">#N/A</definedName>
    <definedName name="LastComputedStamp">#REF!</definedName>
    <definedName name="New_Key1">"'[1]f&amp;f'!#ref!"</definedName>
    <definedName name="New_New">#REF!</definedName>
    <definedName name="New_Sheet">#REF!</definedName>
    <definedName name="NewNew">#REF!</definedName>
    <definedName name="NewSh">#REF!</definedName>
    <definedName name="nj" hidden="1">{#N/A,#N/A,FALSE,"Sensitivity"}</definedName>
    <definedName name="SS_site_acquisition_fees_new_RBS_site">#REF!</definedName>
    <definedName name="Translational" hidden="1">{#N/A,#N/A,FALSE,"Sensitivity"}</definedName>
    <definedName name="wrn.Sensitivity." hidden="1">{#N/A,#N/A,FALSE,"Sensitivity"}</definedName>
    <definedName name="wrn.sensitivity2" hidden="1">{#N/A,#N/A,FALSE,"Sensitivity"}</definedName>
    <definedName name="wrn.sensitivity3" hidden="1">{#N/A,#N/A,FALSE,"Sensitivity"}</definedName>
    <definedName name="year">[2]ModelSettings!$C$8</definedName>
    <definedName name="Year1_Capex">#REF!</definedName>
    <definedName name="Year1_Costs">#REF!</definedName>
    <definedName name="Year1_Depreciation">#REF!</definedName>
    <definedName name="Year1_Manpower">#REF!</definedName>
    <definedName name="Year1_Other">#REF!</definedName>
    <definedName name="Year10_Capex">#REF!</definedName>
    <definedName name="Year10_Costs">#REF!</definedName>
    <definedName name="Year10_Depreciation">#REF!</definedName>
    <definedName name="Year10_Manpower">#REF!</definedName>
    <definedName name="Year10_Other">#REF!</definedName>
    <definedName name="Year2_Capex">#REF!</definedName>
    <definedName name="Year2_Costs">#REF!</definedName>
    <definedName name="Year2_Depreciation">#REF!</definedName>
    <definedName name="Year2_Manpower">#REF!</definedName>
    <definedName name="Year2_Other">#REF!</definedName>
    <definedName name="Year3_Capex">#REF!</definedName>
    <definedName name="Year3_Costs">#REF!</definedName>
    <definedName name="Year3_Depreciation">#REF!</definedName>
    <definedName name="Year3_Manpower">#REF!</definedName>
    <definedName name="Year3_Other">#REF!</definedName>
    <definedName name="Year4_Capex">#REF!</definedName>
    <definedName name="Year4_Costs">#REF!</definedName>
    <definedName name="Year4_Depreciation">#REF!</definedName>
    <definedName name="Year4_Manpower">#REF!</definedName>
    <definedName name="Year4_Other">#REF!</definedName>
    <definedName name="Year5_Capex">#REF!</definedName>
    <definedName name="Year5_Costs">#REF!</definedName>
    <definedName name="Year5_Depreciation">#REF!</definedName>
    <definedName name="Year5_Manpower">#REF!</definedName>
    <definedName name="Year5_Other">#REF!</definedName>
    <definedName name="Year6_Capex">#REF!</definedName>
    <definedName name="Year6_Costs">#REF!</definedName>
    <definedName name="Year6_Depreciation">#REF!</definedName>
    <definedName name="Year6_Manpower">#REF!</definedName>
    <definedName name="Year6_Other">#REF!</definedName>
    <definedName name="Year7_Capex">#REF!</definedName>
    <definedName name="Year7_Costs">#REF!</definedName>
    <definedName name="Year7_Depreciation">#REF!</definedName>
    <definedName name="Year7_Manpower">#REF!</definedName>
    <definedName name="Year7_Other">#REF!</definedName>
    <definedName name="Year8_Capex">#REF!</definedName>
    <definedName name="Year8_Costs">#REF!</definedName>
    <definedName name="Year8_Depreciation">#REF!</definedName>
    <definedName name="Year8_Manpower">#REF!</definedName>
    <definedName name="Year8_Other">#REF!</definedName>
    <definedName name="Year9_Capex">#REF!</definedName>
    <definedName name="Year9_Costs">#REF!</definedName>
    <definedName name="Year9_Depreciation">#REF!</definedName>
    <definedName name="Year9_Manpower">#REF!</definedName>
    <definedName name="Year9_Other">#REF!</definedName>
    <definedName name="YearCapex">#REF!</definedName>
    <definedName name="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6" l="1"/>
  <c r="I13" i="26"/>
  <c r="J13" i="26"/>
  <c r="L13" i="26"/>
  <c r="K13" i="26"/>
  <c r="L9" i="25"/>
  <c r="L4" i="25" s="1"/>
  <c r="K5" i="32"/>
  <c r="K6" i="32" s="1"/>
  <c r="K10" i="32"/>
  <c r="K11" i="32"/>
  <c r="K12" i="32"/>
  <c r="K13" i="32"/>
  <c r="K5" i="31"/>
  <c r="K6" i="31" s="1"/>
  <c r="K15" i="31"/>
  <c r="K16" i="31"/>
  <c r="K19" i="31"/>
  <c r="K20" i="31"/>
  <c r="L5" i="30"/>
  <c r="L6" i="30"/>
  <c r="K6" i="29"/>
  <c r="K26" i="29" s="1"/>
  <c r="K9" i="29"/>
  <c r="K10" i="29"/>
  <c r="K13" i="29"/>
  <c r="K14" i="29"/>
  <c r="K17" i="29"/>
  <c r="K18" i="29"/>
  <c r="K9" i="28"/>
  <c r="K4" i="28" s="1"/>
  <c r="L5" i="27"/>
  <c r="L6" i="27" s="1"/>
  <c r="L5" i="26"/>
  <c r="L8" i="26" s="1"/>
  <c r="K27" i="29" l="1"/>
  <c r="K21" i="29"/>
  <c r="K25" i="29"/>
  <c r="K7" i="32"/>
  <c r="K12" i="31"/>
  <c r="K11" i="31"/>
  <c r="K7" i="31"/>
  <c r="K22" i="29"/>
  <c r="K13" i="28"/>
  <c r="K8" i="28"/>
  <c r="K14" i="28"/>
  <c r="K6" i="28"/>
  <c r="K11" i="28"/>
  <c r="L11" i="27"/>
  <c r="L10" i="27"/>
  <c r="L9" i="26"/>
  <c r="L14" i="25"/>
  <c r="L11" i="25"/>
  <c r="L6" i="25"/>
  <c r="L13" i="25"/>
  <c r="J16" i="31" l="1"/>
  <c r="J4" i="32"/>
  <c r="J3" i="32"/>
  <c r="J10" i="32" l="1"/>
  <c r="J11" i="32"/>
  <c r="J12" i="32"/>
  <c r="J13" i="32"/>
  <c r="J5" i="32"/>
  <c r="J6" i="32" s="1"/>
  <c r="J19" i="31"/>
  <c r="J20" i="31"/>
  <c r="J15" i="31"/>
  <c r="J5" i="31"/>
  <c r="J6" i="31" s="1"/>
  <c r="J5" i="30"/>
  <c r="K5" i="30"/>
  <c r="J6" i="30"/>
  <c r="K6" i="30"/>
  <c r="J17" i="29"/>
  <c r="J18" i="29"/>
  <c r="J13" i="29"/>
  <c r="J14" i="29"/>
  <c r="J9" i="29"/>
  <c r="J10" i="29"/>
  <c r="J6" i="29"/>
  <c r="J26" i="29" s="1"/>
  <c r="J9" i="28"/>
  <c r="J4" i="28" s="1"/>
  <c r="K5" i="27"/>
  <c r="K6" i="27" s="1"/>
  <c r="K5" i="26"/>
  <c r="K8" i="26" s="1"/>
  <c r="K9" i="25"/>
  <c r="K4" i="25" s="1"/>
  <c r="J12" i="31" l="1"/>
  <c r="J11" i="31"/>
  <c r="J25" i="29"/>
  <c r="J22" i="29"/>
  <c r="J21" i="29"/>
  <c r="J27" i="29"/>
  <c r="J7" i="32"/>
  <c r="J7" i="31"/>
  <c r="J6" i="28"/>
  <c r="J14" i="28"/>
  <c r="J13" i="28"/>
  <c r="J11" i="28"/>
  <c r="J8" i="28"/>
  <c r="K11" i="27"/>
  <c r="K10" i="27"/>
  <c r="K9" i="26"/>
  <c r="K14" i="25"/>
  <c r="K13" i="25"/>
  <c r="K11" i="25"/>
  <c r="K8" i="25"/>
  <c r="K6" i="25"/>
  <c r="J5" i="27" l="1"/>
  <c r="I10" i="32" l="1"/>
  <c r="I11" i="32"/>
  <c r="I12" i="32"/>
  <c r="I13" i="32"/>
  <c r="I4" i="32"/>
  <c r="I3" i="32"/>
  <c r="I5" i="32"/>
  <c r="I6" i="32" s="1"/>
  <c r="I15" i="31"/>
  <c r="I16" i="31"/>
  <c r="I19" i="31"/>
  <c r="I20" i="31"/>
  <c r="I5" i="31"/>
  <c r="I6" i="31" s="1"/>
  <c r="I17" i="29"/>
  <c r="I18" i="29"/>
  <c r="I13" i="29"/>
  <c r="I14" i="29"/>
  <c r="I9" i="29"/>
  <c r="I10" i="29"/>
  <c r="I6" i="29"/>
  <c r="I25" i="29" s="1"/>
  <c r="I9" i="28"/>
  <c r="I4" i="28" s="1"/>
  <c r="J5" i="26"/>
  <c r="J9" i="25"/>
  <c r="J4" i="25" s="1"/>
  <c r="I7" i="32" l="1"/>
  <c r="I11" i="31"/>
  <c r="I12" i="31"/>
  <c r="I7" i="31"/>
  <c r="I22" i="29"/>
  <c r="I27" i="29"/>
  <c r="I26" i="29"/>
  <c r="I8" i="28"/>
  <c r="I14" i="28"/>
  <c r="I11" i="28"/>
  <c r="I6" i="28"/>
  <c r="I13" i="28"/>
  <c r="J11" i="27"/>
  <c r="J9" i="26"/>
  <c r="J8" i="25"/>
  <c r="J14" i="25"/>
  <c r="J11" i="25"/>
  <c r="J6" i="25"/>
  <c r="I6" i="30" l="1"/>
  <c r="I9" i="25"/>
  <c r="J13" i="25" s="1"/>
  <c r="H11" i="32"/>
  <c r="H10" i="32"/>
  <c r="H6" i="32"/>
  <c r="I10" i="27"/>
  <c r="H4" i="32"/>
  <c r="H3" i="32"/>
  <c r="G3" i="32"/>
  <c r="H12" i="32"/>
  <c r="H13" i="32"/>
  <c r="H5" i="32"/>
  <c r="H7" i="32" s="1"/>
  <c r="H19" i="31"/>
  <c r="H20" i="31"/>
  <c r="H15" i="31"/>
  <c r="H16" i="31"/>
  <c r="H5" i="31"/>
  <c r="F18" i="29"/>
  <c r="G18" i="29"/>
  <c r="C17" i="29"/>
  <c r="D17" i="29"/>
  <c r="E17" i="29"/>
  <c r="F17" i="29"/>
  <c r="G17" i="29"/>
  <c r="H18" i="29"/>
  <c r="H17" i="29"/>
  <c r="C13" i="29"/>
  <c r="D13" i="29"/>
  <c r="E13" i="29"/>
  <c r="F13" i="29"/>
  <c r="G13" i="29"/>
  <c r="F14" i="29"/>
  <c r="G14" i="29"/>
  <c r="H14" i="29"/>
  <c r="H13" i="29"/>
  <c r="F10" i="29"/>
  <c r="G10" i="29"/>
  <c r="H10" i="29"/>
  <c r="C9" i="29"/>
  <c r="D9" i="29"/>
  <c r="E9" i="29"/>
  <c r="F9" i="29"/>
  <c r="G9" i="29"/>
  <c r="H9" i="29"/>
  <c r="G21" i="29"/>
  <c r="H6" i="29"/>
  <c r="I21" i="29" s="1"/>
  <c r="H9" i="28"/>
  <c r="G13" i="28"/>
  <c r="I5" i="27"/>
  <c r="I5" i="26"/>
  <c r="J8" i="26" s="1"/>
  <c r="B5" i="32"/>
  <c r="G4" i="32"/>
  <c r="F4" i="32"/>
  <c r="E4" i="32"/>
  <c r="D4" i="32"/>
  <c r="C4" i="32"/>
  <c r="B4" i="32"/>
  <c r="F3" i="32"/>
  <c r="E3" i="32"/>
  <c r="D3" i="32"/>
  <c r="C3" i="32"/>
  <c r="B3" i="32"/>
  <c r="I11" i="27" l="1"/>
  <c r="J6" i="27"/>
  <c r="J10" i="27"/>
  <c r="I11" i="25"/>
  <c r="I13" i="25"/>
  <c r="I14" i="25"/>
  <c r="I5" i="30"/>
  <c r="I8" i="26"/>
  <c r="I9" i="26"/>
  <c r="H11" i="31"/>
  <c r="H12" i="31"/>
  <c r="H25" i="29"/>
  <c r="H26" i="29"/>
  <c r="H27" i="29"/>
  <c r="H21" i="29"/>
  <c r="H22" i="29"/>
  <c r="H4" i="28"/>
  <c r="H13" i="28"/>
  <c r="I4" i="25"/>
  <c r="H7" i="31"/>
  <c r="H14" i="28"/>
  <c r="H8" i="28"/>
  <c r="H6" i="28"/>
  <c r="H11" i="28"/>
  <c r="I8" i="25"/>
  <c r="I6" i="25"/>
  <c r="C5" i="32" l="1"/>
  <c r="D5" i="32"/>
  <c r="E5" i="32"/>
  <c r="F5" i="32"/>
  <c r="C12" i="32" l="1"/>
  <c r="D12" i="32"/>
  <c r="E12" i="32"/>
  <c r="F12" i="32"/>
  <c r="F13" i="32"/>
  <c r="G13" i="32"/>
  <c r="G12" i="32"/>
  <c r="F11" i="32"/>
  <c r="C10" i="32"/>
  <c r="D10" i="32"/>
  <c r="E10" i="32"/>
  <c r="F10" i="32"/>
  <c r="G11" i="32"/>
  <c r="G10" i="32"/>
  <c r="F16" i="31"/>
  <c r="F20" i="31"/>
  <c r="G20" i="31"/>
  <c r="G16" i="31"/>
  <c r="C15" i="31"/>
  <c r="D15" i="31"/>
  <c r="E15" i="31"/>
  <c r="F15" i="31"/>
  <c r="C19" i="31"/>
  <c r="D19" i="31"/>
  <c r="E19" i="31"/>
  <c r="F19" i="31"/>
  <c r="G19" i="31"/>
  <c r="G15" i="31"/>
  <c r="B11" i="31"/>
  <c r="C11" i="31"/>
  <c r="D11" i="31"/>
  <c r="E11" i="31"/>
  <c r="F11" i="31"/>
  <c r="B12" i="31"/>
  <c r="C12" i="31"/>
  <c r="D12" i="31"/>
  <c r="E12" i="31"/>
  <c r="F12" i="31"/>
  <c r="B25" i="29"/>
  <c r="C25" i="29"/>
  <c r="D25" i="29"/>
  <c r="E25" i="29"/>
  <c r="F25" i="29"/>
  <c r="B26" i="29"/>
  <c r="C26" i="29"/>
  <c r="D26" i="29"/>
  <c r="E26" i="29"/>
  <c r="F26" i="29"/>
  <c r="B27" i="29"/>
  <c r="C27" i="29"/>
  <c r="D27" i="29"/>
  <c r="E27" i="29"/>
  <c r="F27" i="29"/>
  <c r="F14" i="28"/>
  <c r="G14" i="28"/>
  <c r="C13" i="28"/>
  <c r="D13" i="28"/>
  <c r="E13" i="28"/>
  <c r="F13" i="28"/>
  <c r="G11" i="27"/>
  <c r="D10" i="27"/>
  <c r="E10" i="27"/>
  <c r="F10" i="27"/>
  <c r="G10" i="27"/>
  <c r="G9" i="26"/>
  <c r="D8" i="26"/>
  <c r="E8" i="26"/>
  <c r="F8" i="26"/>
  <c r="G8" i="26"/>
  <c r="G14" i="25"/>
  <c r="D13" i="25"/>
  <c r="E13" i="25"/>
  <c r="F13" i="25"/>
  <c r="G13" i="25"/>
  <c r="F22" i="29" l="1"/>
  <c r="C21" i="29"/>
  <c r="D21" i="29"/>
  <c r="E21" i="29"/>
  <c r="F21" i="29"/>
  <c r="H5" i="30"/>
  <c r="H6" i="30"/>
  <c r="G6" i="30"/>
  <c r="G5" i="30"/>
  <c r="F5" i="30"/>
  <c r="E5" i="30"/>
  <c r="D5" i="30"/>
  <c r="C5" i="30"/>
  <c r="F7" i="32"/>
  <c r="F6" i="32"/>
  <c r="E6" i="32"/>
  <c r="D6" i="32"/>
  <c r="C6" i="32"/>
  <c r="B6" i="32"/>
  <c r="F7" i="31"/>
  <c r="B6" i="31"/>
  <c r="C6" i="31"/>
  <c r="D6" i="31"/>
  <c r="E6" i="31"/>
  <c r="F6" i="31"/>
  <c r="G5" i="32"/>
  <c r="G5" i="31"/>
  <c r="G6" i="29"/>
  <c r="G11" i="28"/>
  <c r="G8" i="28"/>
  <c r="G6" i="28"/>
  <c r="G4" i="28"/>
  <c r="G9" i="28"/>
  <c r="H5" i="27"/>
  <c r="H5" i="26"/>
  <c r="G7" i="32" l="1"/>
  <c r="H6" i="31"/>
  <c r="G7" i="31"/>
  <c r="G12" i="31"/>
  <c r="G11" i="31"/>
  <c r="G6" i="31"/>
  <c r="G22" i="29"/>
  <c r="I6" i="27"/>
  <c r="H10" i="27"/>
  <c r="H11" i="27"/>
  <c r="H6" i="27"/>
  <c r="H9" i="26"/>
  <c r="H8" i="26"/>
  <c r="G6" i="32"/>
  <c r="G26" i="29"/>
  <c r="G25" i="29"/>
  <c r="G27" i="29"/>
  <c r="H9" i="25" l="1"/>
  <c r="H4" i="25" l="1"/>
  <c r="H13" i="25"/>
  <c r="H14" i="25"/>
  <c r="H11" i="25"/>
  <c r="H6" i="25"/>
  <c r="H8" i="25"/>
</calcChain>
</file>

<file path=xl/sharedStrings.xml><?xml version="1.0" encoding="utf-8"?>
<sst xmlns="http://schemas.openxmlformats.org/spreadsheetml/2006/main" count="269" uniqueCount="55">
  <si>
    <t>Fixed Voice Subscriptions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</si>
  <si>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</si>
  <si>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</si>
  <si>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</si>
  <si>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</si>
  <si>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</si>
  <si>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</si>
  <si>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</si>
  <si>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</si>
  <si>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</si>
  <si>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</si>
  <si>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Telecel</t>
  </si>
  <si>
    <t>AT</t>
  </si>
  <si>
    <t>MTN</t>
  </si>
  <si>
    <t>Total industry Subscriptions</t>
  </si>
  <si>
    <t>Population Est.</t>
  </si>
  <si>
    <t>Fixed Voice Penetration Rate (%)</t>
  </si>
  <si>
    <t>Q-o-Q</t>
  </si>
  <si>
    <t>Y-o-Y</t>
  </si>
  <si>
    <t>Traffic</t>
  </si>
  <si>
    <t>On-Net Fixed voice traffic</t>
  </si>
  <si>
    <t>-</t>
  </si>
  <si>
    <t>Off-Net fixed voice traffic</t>
  </si>
  <si>
    <t>Total Fixed Voice Traffic</t>
  </si>
  <si>
    <t>Fixed Network (MoU)</t>
  </si>
  <si>
    <t>Average Fixed Subscription</t>
  </si>
  <si>
    <t>Minutes of Use per Subscription (MoU)</t>
  </si>
  <si>
    <t>Growth Rate</t>
  </si>
  <si>
    <t>Q2 2026</t>
  </si>
  <si>
    <t>Q2 2027</t>
  </si>
  <si>
    <t>Fixed Data Subscriptions</t>
  </si>
  <si>
    <t>Market Share (%)</t>
  </si>
  <si>
    <t>Total Fixed data</t>
  </si>
  <si>
    <t>Population</t>
  </si>
  <si>
    <t>Fixed Data Penetration (%)</t>
  </si>
  <si>
    <t>Q-o-Q (Total Fixed Data)</t>
  </si>
  <si>
    <t>Y-o-Y (Total Fixed Data)</t>
  </si>
  <si>
    <t>Fixed Data Subscriptions per Operator</t>
  </si>
  <si>
    <t>Total Fixed Data Subscription</t>
  </si>
  <si>
    <t>Telecel Growth</t>
  </si>
  <si>
    <t>AT Growth</t>
  </si>
  <si>
    <t>MTN Growth</t>
  </si>
  <si>
    <t>Growth (Total)</t>
  </si>
  <si>
    <t>Market Share</t>
  </si>
  <si>
    <t>Vodafone</t>
  </si>
  <si>
    <t>Fixed Broadband Subscription</t>
  </si>
  <si>
    <t>Fixed Broadband Operators</t>
  </si>
  <si>
    <t>Total</t>
  </si>
  <si>
    <t>MTN (Q-o-Q)</t>
  </si>
  <si>
    <t>MTN (Y-o-Y)</t>
  </si>
  <si>
    <t>Telecel (Q-o-Q)</t>
  </si>
  <si>
    <t>Telecel (Y-o-Y)</t>
  </si>
  <si>
    <t>MTN Traffic (TB)</t>
  </si>
  <si>
    <t>Telecel Traffic (TB)</t>
  </si>
  <si>
    <t>Total Fixed Broadband Traffic (TB)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</si>
</sst>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 &quot;#,##0.00&quot; &quot;;&quot;-&quot;#,##0.00&quot; &quot;;&quot; &quot;&quot;-&quot;00&quot; &quot;;&quot; &quot;@&quot; &quot;"/>
    <numFmt numFmtId="165" formatCode="_-* #,##0.00_-;\-* #,##0.00_-;_-* &quot;-&quot;??_-;_-@_-"/>
  </numFmts>
  <fonts count="2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Liberation Sans"/>
    </font>
    <font>
      <sz val="8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8"/>
      <color theme="1"/>
      <name val="Cambria"/>
      <family val="1"/>
    </font>
    <font>
      <b/>
      <sz val="8"/>
      <color theme="1"/>
      <name val="Calibri"/>
      <family val="2"/>
      <scheme val="minor"/>
    </font>
    <font>
      <b/>
      <sz val="10"/>
      <color theme="1"/>
      <name val="Aptos"/>
    </font>
    <font>
      <b/>
      <sz val="10"/>
      <color rgb="FF000000"/>
      <name val="Aptos"/>
    </font>
    <font>
      <b/>
      <sz val="8"/>
      <color rgb="FF000000"/>
      <name val="Cambria"/>
      <family val="1"/>
    </font>
    <font>
      <b/>
      <sz val="12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mbria"/>
      <family val="1"/>
    </font>
    <font>
      <sz val="10"/>
      <color rgb="FFFF0000"/>
      <name val="Cambria"/>
      <family val="1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4" fontId="12" fillId="0" borderId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06">
    <xf numFmtId="0" fontId="0" fillId="0" borderId="0" xfId="0"/>
    <xf numFmtId="0" fontId="7" fillId="0" borderId="1" xfId="0" applyFont="1" applyBorder="1" applyAlignment="1">
      <alignment horizontal="left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3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3" fontId="8" fillId="0" borderId="1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0" fontId="7" fillId="0" borderId="1" xfId="1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2" fontId="7" fillId="0" borderId="1" xfId="0" applyNumberFormat="1" applyFont="1" applyBorder="1" applyAlignment="1">
      <alignment horizontal="center" vertical="center" wrapText="1"/>
    </xf>
    <xf numFmtId="3" fontId="9" fillId="0" borderId="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2" fillId="3" borderId="1" xfId="0" applyFont="1" applyFill="1" applyBorder="1"/>
    <xf numFmtId="10" fontId="16" fillId="2" borderId="1" xfId="1" applyNumberFormat="1" applyFont="1" applyFill="1" applyBorder="1" applyAlignment="1">
      <alignment horizontal="center" vertical="center"/>
    </xf>
    <xf numFmtId="0" fontId="17" fillId="3" borderId="1" xfId="0" applyFont="1" applyFill="1" applyBorder="1"/>
    <xf numFmtId="10" fontId="16" fillId="3" borderId="1" xfId="1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3" fontId="8" fillId="0" borderId="0" xfId="0" applyNumberFormat="1" applyFont="1" applyAlignment="1">
      <alignment horizontal="center" vertical="center" wrapText="1"/>
    </xf>
    <xf numFmtId="10" fontId="20" fillId="9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21" fillId="10" borderId="1" xfId="0" applyFont="1" applyFill="1" applyBorder="1"/>
    <xf numFmtId="0" fontId="22" fillId="10" borderId="1" xfId="0" applyFont="1" applyFill="1" applyBorder="1"/>
    <xf numFmtId="10" fontId="20" fillId="10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5" fillId="0" borderId="0" xfId="0" applyFont="1"/>
    <xf numFmtId="0" fontId="14" fillId="12" borderId="1" xfId="0" applyFont="1" applyFill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9" fillId="0" borderId="2" xfId="0" applyFont="1" applyBorder="1" applyAlignment="1">
      <alignment vertical="center"/>
    </xf>
    <xf numFmtId="3" fontId="9" fillId="0" borderId="2" xfId="0" applyNumberFormat="1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0" fontId="4" fillId="0" borderId="7" xfId="0" applyNumberFormat="1" applyFont="1" applyBorder="1" applyAlignment="1">
      <alignment horizontal="center" vertical="center" wrapText="1"/>
    </xf>
    <xf numFmtId="3" fontId="5" fillId="0" borderId="7" xfId="0" applyNumberFormat="1" applyFont="1" applyBorder="1" applyAlignment="1">
      <alignment horizontal="center" vertical="center" wrapText="1"/>
    </xf>
    <xf numFmtId="10" fontId="5" fillId="0" borderId="7" xfId="0" applyNumberFormat="1" applyFont="1" applyBorder="1" applyAlignment="1">
      <alignment horizontal="center" vertical="center" wrapText="1"/>
    </xf>
    <xf numFmtId="0" fontId="0" fillId="0" borderId="7" xfId="0" applyBorder="1"/>
    <xf numFmtId="10" fontId="7" fillId="0" borderId="7" xfId="1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 wrapText="1"/>
    </xf>
    <xf numFmtId="10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10" fontId="5" fillId="0" borderId="4" xfId="0" applyNumberFormat="1" applyFont="1" applyBorder="1" applyAlignment="1">
      <alignment horizontal="center" vertical="center" wrapText="1"/>
    </xf>
    <xf numFmtId="10" fontId="7" fillId="0" borderId="4" xfId="1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3" fontId="9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3" fontId="9" fillId="0" borderId="6" xfId="0" applyNumberFormat="1" applyFont="1" applyBorder="1" applyAlignment="1">
      <alignment horizontal="center" vertical="center" wrapText="1"/>
    </xf>
    <xf numFmtId="10" fontId="16" fillId="2" borderId="2" xfId="1" applyNumberFormat="1" applyFont="1" applyFill="1" applyBorder="1" applyAlignment="1">
      <alignment horizontal="center" vertical="center"/>
    </xf>
    <xf numFmtId="3" fontId="24" fillId="0" borderId="1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0" fontId="20" fillId="9" borderId="7" xfId="0" applyNumberFormat="1" applyFont="1" applyFill="1" applyBorder="1" applyAlignment="1">
      <alignment horizontal="center" vertical="center"/>
    </xf>
    <xf numFmtId="10" fontId="20" fillId="10" borderId="7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3" fontId="8" fillId="0" borderId="4" xfId="0" applyNumberFormat="1" applyFont="1" applyBorder="1" applyAlignment="1">
      <alignment horizontal="center" vertical="center" wrapText="1"/>
    </xf>
    <xf numFmtId="10" fontId="20" fillId="9" borderId="4" xfId="0" applyNumberFormat="1" applyFont="1" applyFill="1" applyBorder="1" applyAlignment="1">
      <alignment horizontal="center" vertical="center"/>
    </xf>
    <xf numFmtId="10" fontId="20" fillId="10" borderId="4" xfId="0" applyNumberFormat="1" applyFont="1" applyFill="1" applyBorder="1" applyAlignment="1">
      <alignment horizontal="center" vertical="center"/>
    </xf>
    <xf numFmtId="10" fontId="0" fillId="0" borderId="0" xfId="0" applyNumberFormat="1"/>
    <xf numFmtId="3" fontId="8" fillId="0" borderId="8" xfId="0" applyNumberFormat="1" applyFont="1" applyBorder="1" applyAlignment="1">
      <alignment horizontal="center" vertical="center" wrapText="1"/>
    </xf>
    <xf numFmtId="10" fontId="4" fillId="0" borderId="8" xfId="0" applyNumberFormat="1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/>
    </xf>
    <xf numFmtId="3" fontId="5" fillId="0" borderId="8" xfId="0" applyNumberFormat="1" applyFont="1" applyBorder="1" applyAlignment="1">
      <alignment horizontal="center" vertical="center" wrapText="1"/>
    </xf>
    <xf numFmtId="10" fontId="5" fillId="0" borderId="8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23" fillId="0" borderId="1" xfId="0" applyFont="1" applyBorder="1" applyAlignment="1">
      <alignment horizontal="center"/>
    </xf>
    <xf numFmtId="3" fontId="7" fillId="4" borderId="4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</cellXfs>
  <cellStyles count="8">
    <cellStyle name="Comma 2" xfId="4" xr:uid="{5F1EF2BA-462D-E74E-9E55-086F6967E61B}"/>
    <cellStyle name="Comma 3" xfId="6" xr:uid="{AFD20C93-B0F0-7946-A9F7-0BC70575044A}"/>
    <cellStyle name="Excel Built-in Comma" xfId="5" xr:uid="{59E32F29-F297-AB43-9FF5-C0B43B6088C4}"/>
    <cellStyle name="Normal" xfId="0" builtinId="0"/>
    <cellStyle name="Normal 2" xfId="2" xr:uid="{C5798D99-4CEA-2A48-9BD6-DE320F302FCF}"/>
    <cellStyle name="Per cent 2" xfId="3" xr:uid="{5AFCACFE-45C9-2F44-8445-5698C5238BD8}"/>
    <cellStyle name="Percent" xfId="1" builtinId="5"/>
    <cellStyle name="Percent 2" xfId="7" xr:uid="{FFF8872E-B739-3049-9311-4F3DB0D153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'24. Fixed Voice &amp; Pen Rate'!$B$2</c:f>
              <c:strCache>
                <c:ptCount val="1"/>
                <c:pt idx="0">
                  <c:v>Fixed Voice Subscriptions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'24. Fixed Voice &amp; Pen Rate'!$H$2:$L$2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'24. Fixed Voice &amp; Pen Rate'!$H$9:$L$9</c:f>
              <c:numCache>
                <c:formatCode>#,##0</c:formatCode>
                <c:ptCount val="5"/>
                <c:pt idx="0">
                  <c:v>267881</c:v>
                </c:pt>
                <c:pt idx="1">
                  <c:v>267332</c:v>
                </c:pt>
                <c:pt idx="2">
                  <c:v>266760</c:v>
                </c:pt>
                <c:pt idx="3">
                  <c:v>265236</c:v>
                </c:pt>
                <c:pt idx="4">
                  <c:v>262221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A-1F4F-A2D3-C392B388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27"/>
        <c:axId val="1521884767"/>
        <c:axId val="1522483039"/>
      </c:barChart>
      <c:lineChart>
        <c:grouping val="standard"/>
        <c:varyColors val="0"/>
        <c:ser>
          <c:idx val="1"/>
          <c:order val="1"/>
          <c:tx>
            <c:strRef>
              <c:f>'24. Fixed Voice &amp; Pen Rate'!$B$11</c:f>
              <c:strCache>
                <c:ptCount val="1"/>
                <c:pt idx="0">
                  <c:v>Fixed Voice Penetration Rate (%)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0.05"/>
                  <c:y val="-4.2643923240938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9A-1F4F-A2D3-C392B388DE88}"/>
                </c:ext>
              </c:extLst>
            </c:dLbl>
            <c:dLbl>
              <c:idx val="1"/>
              <c:layout>
                <c:manualLayout>
                  <c:x val="-5.4644808743169501E-2"/>
                  <c:y val="-4.2643923240938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9A-1F4F-A2D3-C392B388DE88}"/>
                </c:ext>
              </c:extLst>
            </c:dLbl>
            <c:dLbl>
              <c:idx val="2"/>
              <c:layout>
                <c:manualLayout>
                  <c:x val="-6.010928961748644E-2"/>
                  <c:y val="-3.58565737051792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C9A-1F4F-A2D3-C392B388DE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'24. Fixed Voice &amp; Pen Rate'!$H$2:$L$2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'24. Fixed Voice &amp; Pen Rate'!$H$11:$L$11</c:f>
              <c:numCache>
                <c:formatCode>0.00%</c:formatCode>
                <c:ptCount val="5"/>
                <c:pt idx="0">
                  <c:v>8.0553922026319093E-3</c:v>
                </c:pt>
                <c:pt idx="1">
                  <c:v>7.9991803691713964E-3</c:v>
                </c:pt>
                <c:pt idx="2">
                  <c:v>7.9428364486760373E-3</c:v>
                </c:pt>
                <c:pt idx="3">
                  <c:v>7.858836142169463E-3</c:v>
                </c:pt>
                <c:pt idx="4">
                  <c:v>7.731690658542221E-3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9A-1F4F-A2D3-C392B388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454063"/>
        <c:axId val="1588396895"/>
      </c:lineChart>
      <c:catAx>
        <c:axId val="152188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522483039"/>
        <c:crosses val="autoZero"/>
        <c:auto val="1"/>
        <c:lblAlgn val="ctr"/>
        <c:lblOffset val="100"/>
        <c:noMultiLvlLbl val="0"/>
      </c:catAx>
      <c:valAx>
        <c:axId val="152248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Fixed Voice Subscriptions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15977032721656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521884767"/>
        <c:crosses val="autoZero"/>
        <c:crossBetween val="between"/>
      </c:valAx>
      <c:valAx>
        <c:axId val="158839689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Fixed Voice Penetration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442454063"/>
        <c:crosses val="max"/>
        <c:crossBetween val="between"/>
      </c:valAx>
      <c:catAx>
        <c:axId val="14424540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88396895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60000"/>
                <a:lumOff val="40000"/>
              </a:schemeClr>
            </a:solidFill>
            <a:ln cap="rnd">
              <a:solidFill>
                <a:schemeClr val="accent1"/>
              </a:solidFill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 Fixed Voice Traffic'!$H$2:$L$2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'25. Fixed Voice Traffic'!$H$5:$L$5</c:f>
              <c:numCache>
                <c:formatCode>#,##0</c:formatCode>
                <c:ptCount val="5"/>
                <c:pt idx="0">
                  <c:v>6504764</c:v>
                </c:pt>
                <c:pt idx="1">
                  <c:v>6750878</c:v>
                </c:pt>
                <c:pt idx="2">
                  <c:v>7170571</c:v>
                </c:pt>
                <c:pt idx="3">
                  <c:v>6935638</c:v>
                </c:pt>
                <c:pt idx="4">
                  <c:v>8062845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D-8E48-8B86-80331371F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43"/>
        <c:axId val="1419826751"/>
        <c:axId val="1420278975"/>
      </c:barChart>
      <c:catAx>
        <c:axId val="1419826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420278975"/>
        <c:crosses val="autoZero"/>
        <c:auto val="1"/>
        <c:lblAlgn val="ctr"/>
        <c:lblOffset val="100"/>
        <c:noMultiLvlLbl val="0"/>
      </c:catAx>
      <c:valAx>
        <c:axId val="142027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/>
                  <a:t>Fixed Voice Traffic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419826751"/>
        <c:crosses val="autoZero"/>
        <c:crossBetween val="between"/>
        <c:dispUnits>
          <c:builtInUnit val="millions"/>
        </c:dispUnits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Aptos" panose="020B000402020202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6.1111111111111137E-2"/>
                  <c:y val="-3.78947368421052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65-624A-A02A-5D2B433FE1DD}"/>
                </c:ext>
              </c:extLst>
            </c:dLbl>
            <c:dLbl>
              <c:idx val="1"/>
              <c:layout>
                <c:manualLayout>
                  <c:x val="-6.9444444444444448E-2"/>
                  <c:y val="-4.21052631578947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65-624A-A02A-5D2B433FE1DD}"/>
                </c:ext>
              </c:extLst>
            </c:dLbl>
            <c:dLbl>
              <c:idx val="2"/>
              <c:layout>
                <c:manualLayout>
                  <c:x val="-5.5555555555555552E-2"/>
                  <c:y val="-3.36842105263157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4D7-084E-AA14-75AB8767A2AF}"/>
                </c:ext>
              </c:extLst>
            </c:dLbl>
            <c:dLbl>
              <c:idx val="3"/>
              <c:layout>
                <c:manualLayout>
                  <c:x val="-5.8333333333333334E-2"/>
                  <c:y val="5.05263157894736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64F-294E-BB26-F8BD6A0C2C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'26. Fixed Voice MoU'!$H$2:$L$2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'26. Fixed Voice MoU'!$H$5:$L$5</c:f>
              <c:numCache>
                <c:formatCode>0.00</c:formatCode>
                <c:ptCount val="5"/>
                <c:pt idx="0">
                  <c:v>24.21061956125267</c:v>
                </c:pt>
                <c:pt idx="1">
                  <c:v>25.252786796941631</c:v>
                </c:pt>
                <c:pt idx="2">
                  <c:v>26.578933517184119</c:v>
                </c:pt>
                <c:pt idx="3">
                  <c:v>26.111816816194992</c:v>
                </c:pt>
                <c:pt idx="4">
                  <c:v>30.515649837256831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D1-1B4F-B904-B36455102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4030127"/>
        <c:axId val="1442775743"/>
      </c:lineChart>
      <c:catAx>
        <c:axId val="160403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442775743"/>
        <c:crosses val="autoZero"/>
        <c:auto val="1"/>
        <c:lblAlgn val="ctr"/>
        <c:lblOffset val="100"/>
        <c:noMultiLvlLbl val="0"/>
      </c:catAx>
      <c:valAx>
        <c:axId val="1442775743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Minutes of Use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60403012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'27. Fixed Line Data &amp;Pen Rate'!$A$2</c:f>
              <c:strCache>
                <c:ptCount val="1"/>
                <c:pt idx="0">
                  <c:v>Fixed Data Subscriptions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'27. Fixed Line Data &amp;Pen Rate'!$G$2:$K$2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'27. Fixed Line Data &amp;Pen Rate'!$G$9:$K$9</c:f>
              <c:numCache>
                <c:formatCode>#,##0</c:formatCode>
                <c:ptCount val="5"/>
                <c:pt idx="0">
                  <c:v>133872</c:v>
                </c:pt>
                <c:pt idx="1">
                  <c:v>145218</c:v>
                </c:pt>
                <c:pt idx="2">
                  <c:v>162048</c:v>
                </c:pt>
                <c:pt idx="3">
                  <c:v>175458</c:v>
                </c:pt>
                <c:pt idx="4">
                  <c:v>189091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4-8A4C-9453-AC2218BDC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27"/>
        <c:axId val="1587880239"/>
        <c:axId val="1571311359"/>
      </c:barChart>
      <c:lineChart>
        <c:grouping val="standard"/>
        <c:varyColors val="0"/>
        <c:ser>
          <c:idx val="1"/>
          <c:order val="1"/>
          <c:tx>
            <c:strRef>
              <c:f>'27. Fixed Line Data &amp;Pen Rate'!$A$11</c:f>
              <c:strCache>
                <c:ptCount val="1"/>
                <c:pt idx="0">
                  <c:v>Fixed Data Penetration (%)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6.4077412010245707E-2"/>
                  <c:y val="-3.53982300884955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F4-8A4C-9453-AC2218BDC1F9}"/>
                </c:ext>
              </c:extLst>
            </c:dLbl>
            <c:dLbl>
              <c:idx val="1"/>
              <c:layout>
                <c:manualLayout>
                  <c:x val="-6.9879518072289246E-2"/>
                  <c:y val="-2.83185840707964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F4-8A4C-9453-AC2218BDC1F9}"/>
                </c:ext>
              </c:extLst>
            </c:dLbl>
            <c:dLbl>
              <c:idx val="2"/>
              <c:layout>
                <c:manualLayout>
                  <c:x val="-5.7831325301204821E-2"/>
                  <c:y val="-2.83185840707964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3F4-8A4C-9453-AC2218BDC1F9}"/>
                </c:ext>
              </c:extLst>
            </c:dLbl>
            <c:dLbl>
              <c:idx val="3"/>
              <c:layout>
                <c:manualLayout>
                  <c:x val="-5.3012048192771083E-2"/>
                  <c:y val="-3.18584070796460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CE2-0A43-9B7C-0042A9D731B8}"/>
                </c:ext>
              </c:extLst>
            </c:dLbl>
            <c:dLbl>
              <c:idx val="4"/>
              <c:layout>
                <c:manualLayout>
                  <c:x val="-5.6818181818181712E-2"/>
                  <c:y val="-4.11522633744855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E6F-A346-AF2F-29C5BF612B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'27. Fixed Line Data &amp;Pen Rate'!$G$2:$K$2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'27. Fixed Line Data &amp;Pen Rate'!$G$11:$K$11</c:f>
              <c:numCache>
                <c:formatCode>0.00%</c:formatCode>
                <c:ptCount val="5"/>
                <c:pt idx="0">
                  <c:v>4.0256362524805373E-3</c:v>
                </c:pt>
                <c:pt idx="1">
                  <c:v>4.3452522513216969E-3</c:v>
                </c:pt>
                <c:pt idx="2">
                  <c:v>4.8488439157179436E-3</c:v>
                </c:pt>
                <c:pt idx="3">
                  <c:v>5.1987500634633668E-3</c:v>
                </c:pt>
                <c:pt idx="4">
                  <c:v>5.5754234722406176E-3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F4-8A4C-9453-AC2218BDC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8604271"/>
        <c:axId val="1385413503"/>
      </c:lineChart>
      <c:catAx>
        <c:axId val="158788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571311359"/>
        <c:crosses val="autoZero"/>
        <c:auto val="1"/>
        <c:lblAlgn val="ctr"/>
        <c:lblOffset val="100"/>
        <c:noMultiLvlLbl val="0"/>
      </c:catAx>
      <c:valAx>
        <c:axId val="157131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587880239"/>
        <c:crosses val="autoZero"/>
        <c:crossBetween val="between"/>
      </c:valAx>
      <c:valAx>
        <c:axId val="138541350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458604271"/>
        <c:crosses val="max"/>
        <c:crossBetween val="between"/>
      </c:valAx>
      <c:catAx>
        <c:axId val="14586042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85413503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Aptos" panose="020B000402020202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'28. Fixed Network per Operator'!$A$3</c:f>
              <c:strCache>
                <c:ptCount val="1"/>
                <c:pt idx="0">
                  <c:v>Telecel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6.9444444444444545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D4-D14E-8B5A-DD7190B67C01}"/>
                </c:ext>
              </c:extLst>
            </c:dLbl>
            <c:dLbl>
              <c:idx val="1"/>
              <c:layout>
                <c:manualLayout>
                  <c:x val="-7.4175824175824176E-2"/>
                  <c:y val="-4.43548387096774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D4-D14E-8B5A-DD7190B67C01}"/>
                </c:ext>
              </c:extLst>
            </c:dLbl>
            <c:dLbl>
              <c:idx val="2"/>
              <c:layout>
                <c:manualLayout>
                  <c:x val="-6.3186813186813184E-2"/>
                  <c:y val="-3.62903225806451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D4-D14E-8B5A-DD7190B67C01}"/>
                </c:ext>
              </c:extLst>
            </c:dLbl>
            <c:dLbl>
              <c:idx val="3"/>
              <c:layout>
                <c:manualLayout>
                  <c:x val="-5.7692307692307696E-2"/>
                  <c:y val="-4.03225806451612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D4-D14E-8B5A-DD7190B67C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'28. Fixed Network per Operator'!$G$2:$K$2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'28. Fixed Network per Operator'!$G$3:$K$3</c:f>
              <c:numCache>
                <c:formatCode>#,##0</c:formatCode>
                <c:ptCount val="5"/>
                <c:pt idx="0">
                  <c:v>85284</c:v>
                </c:pt>
                <c:pt idx="1">
                  <c:v>88438</c:v>
                </c:pt>
                <c:pt idx="2">
                  <c:v>91217</c:v>
                </c:pt>
                <c:pt idx="3">
                  <c:v>92515</c:v>
                </c:pt>
                <c:pt idx="4">
                  <c:v>96845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D4-D14E-8B5A-DD7190B67C01}"/>
            </c:ext>
          </c:extLst>
        </c:ser>
        <c:ser>
          <c:idx val="1"/>
          <c:order val="1"/>
          <c:tx>
            <c:strRef>
              <c:f>'28. Fixed Network per Operator'!$A$4</c:f>
              <c:strCache>
                <c:ptCount val="1"/>
                <c:pt idx="0">
                  <c:v>AT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tar"/>
            <c:size val="7"/>
            <c:spPr>
              <a:noFill/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0.05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DD4-D14E-8B5A-DD7190B67C01}"/>
                </c:ext>
              </c:extLst>
            </c:dLbl>
            <c:dLbl>
              <c:idx val="1"/>
              <c:layout>
                <c:manualLayout>
                  <c:x val="-5.4945054945055048E-2"/>
                  <c:y val="-3.62903225806453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DD4-D14E-8B5A-DD7190B67C01}"/>
                </c:ext>
              </c:extLst>
            </c:dLbl>
            <c:dLbl>
              <c:idx val="2"/>
              <c:layout>
                <c:manualLayout>
                  <c:x val="-5.4945054945054944E-2"/>
                  <c:y val="-4.03225806451612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DD4-D14E-8B5A-DD7190B67C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'28. Fixed Network per Operator'!$G$2:$K$2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'28. Fixed Network per Operator'!$G$4:$K$4</c:f>
              <c:numCache>
                <c:formatCode>General</c:formatCode>
                <c:ptCount val="5"/>
                <c:pt idx="0">
                  <c:v>363</c:v>
                </c:pt>
                <c:pt idx="1">
                  <c:v>378</c:v>
                </c:pt>
                <c:pt idx="2">
                  <c:v>350</c:v>
                </c:pt>
                <c:pt idx="3">
                  <c:v>343</c:v>
                </c:pt>
                <c:pt idx="4">
                  <c:v>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D4-D14E-8B5A-DD7190B67C01}"/>
            </c:ext>
          </c:extLst>
        </c:ser>
        <c:ser>
          <c:idx val="2"/>
          <c:order val="2"/>
          <c:tx>
            <c:strRef>
              <c:f>'28. Fixed Network per Operator'!$A$5</c:f>
              <c:strCache>
                <c:ptCount val="1"/>
                <c:pt idx="0">
                  <c:v>MTN</c:v>
                </c:pt>
              </c:strCache>
            </c:strRef>
          </c:tx>
          <c:spPr>
            <a:ln w="22225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7.7777777777777876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D4-D14E-8B5A-DD7190B67C01}"/>
                </c:ext>
              </c:extLst>
            </c:dLbl>
            <c:dLbl>
              <c:idx val="1"/>
              <c:layout>
                <c:manualLayout>
                  <c:x val="-9.0659340659340754E-2"/>
                  <c:y val="-3.22580645161289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DD4-D14E-8B5A-DD7190B67C01}"/>
                </c:ext>
              </c:extLst>
            </c:dLbl>
            <c:dLbl>
              <c:idx val="2"/>
              <c:layout>
                <c:manualLayout>
                  <c:x val="-6.5934065934066033E-2"/>
                  <c:y val="-3.62903225806451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DD4-D14E-8B5A-DD7190B67C01}"/>
                </c:ext>
              </c:extLst>
            </c:dLbl>
            <c:dLbl>
              <c:idx val="3"/>
              <c:layout>
                <c:manualLayout>
                  <c:x val="-8.7912087912087919E-2"/>
                  <c:y val="-2.41935483870967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DD4-D14E-8B5A-DD7190B67C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'28. Fixed Network per Operator'!$G$2:$K$2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'28. Fixed Network per Operator'!$G$5:$K$5</c:f>
              <c:numCache>
                <c:formatCode>#,##0</c:formatCode>
                <c:ptCount val="5"/>
                <c:pt idx="0">
                  <c:v>48225</c:v>
                </c:pt>
                <c:pt idx="1">
                  <c:v>56402</c:v>
                </c:pt>
                <c:pt idx="2">
                  <c:v>70481</c:v>
                </c:pt>
                <c:pt idx="3">
                  <c:v>82600</c:v>
                </c:pt>
                <c:pt idx="4">
                  <c:v>91901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D4-D14E-8B5A-DD7190B67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614527"/>
        <c:axId val="1664953711"/>
      </c:lineChart>
      <c:catAx>
        <c:axId val="1448614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664953711"/>
        <c:crosses val="autoZero"/>
        <c:auto val="1"/>
        <c:lblAlgn val="ctr"/>
        <c:lblOffset val="100"/>
        <c:noMultiLvlLbl val="0"/>
      </c:catAx>
      <c:valAx>
        <c:axId val="166495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Fixed Data Subscriptions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201796442111402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44861452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'29. Fixed Broadband Subs'!$H$2:$L$2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'29. Fixed Broadband Subs'!$H$3:$L$3</c:f>
              <c:numCache>
                <c:formatCode>#,##0</c:formatCode>
                <c:ptCount val="5"/>
                <c:pt idx="0">
                  <c:v>227350</c:v>
                </c:pt>
                <c:pt idx="1">
                  <c:v>236479</c:v>
                </c:pt>
                <c:pt idx="2">
                  <c:v>250569</c:v>
                </c:pt>
                <c:pt idx="3">
                  <c:v>261938</c:v>
                </c:pt>
                <c:pt idx="4">
                  <c:v>273095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1-5641-AD22-521841E47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43"/>
        <c:axId val="1411003839"/>
        <c:axId val="1112640671"/>
      </c:barChart>
      <c:catAx>
        <c:axId val="141100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112640671"/>
        <c:crosses val="autoZero"/>
        <c:auto val="1"/>
        <c:lblAlgn val="ctr"/>
        <c:lblOffset val="100"/>
        <c:noMultiLvlLbl val="0"/>
      </c:catAx>
      <c:valAx>
        <c:axId val="111264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Fixed Broadband Subscriptions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210892671893335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41100383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'30. Fixed BB per operator'!$A$3</c:f>
              <c:strCache>
                <c:ptCount val="1"/>
                <c:pt idx="0">
                  <c:v>MTN</c:v>
                </c:pt>
              </c:strCache>
            </c:strRef>
          </c:tx>
          <c:spPr>
            <a:ln w="22225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6.3888888888888884E-2"/>
                  <c:y val="-3.96039603960396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34-6A4B-A2DC-06F37F35EB05}"/>
                </c:ext>
              </c:extLst>
            </c:dLbl>
            <c:dLbl>
              <c:idx val="1"/>
              <c:layout>
                <c:manualLayout>
                  <c:x val="-7.4352037926694828E-2"/>
                  <c:y val="-3.23257930875618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34-6A4B-A2DC-06F37F35EB05}"/>
                </c:ext>
              </c:extLst>
            </c:dLbl>
            <c:dLbl>
              <c:idx val="2"/>
              <c:layout>
                <c:manualLayout>
                  <c:x val="-8.2613375474105369E-2"/>
                  <c:y val="-3.23257930875618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934-6A4B-A2DC-06F37F35EB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'30. Fixed BB per operator'!$G$2:$K$2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'30. Fixed BB per operator'!$G$3:$K$3</c:f>
              <c:numCache>
                <c:formatCode>#,##0</c:formatCode>
                <c:ptCount val="5"/>
                <c:pt idx="0">
                  <c:v>144499</c:v>
                </c:pt>
                <c:pt idx="1">
                  <c:v>150471</c:v>
                </c:pt>
                <c:pt idx="2">
                  <c:v>161763</c:v>
                </c:pt>
                <c:pt idx="3">
                  <c:v>171862</c:v>
                </c:pt>
                <c:pt idx="4">
                  <c:v>178718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34-6A4B-A2DC-06F37F35EB05}"/>
            </c:ext>
          </c:extLst>
        </c:ser>
        <c:ser>
          <c:idx val="1"/>
          <c:order val="1"/>
          <c:tx>
            <c:strRef>
              <c:f>'30. Fixed BB per operator'!$A$4</c:f>
              <c:strCache>
                <c:ptCount val="1"/>
                <c:pt idx="0">
                  <c:v>Telecel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star"/>
            <c:size val="7"/>
            <c:spPr>
              <a:noFill/>
              <a:ln w="15875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6.3888888888888884E-2"/>
                  <c:y val="-3.96039603960396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34-6A4B-A2DC-06F37F35EB05}"/>
                </c:ext>
              </c:extLst>
            </c:dLbl>
            <c:dLbl>
              <c:idx val="1"/>
              <c:layout>
                <c:manualLayout>
                  <c:x val="-7.7105817109165017E-2"/>
                  <c:y val="-4.04072413594523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34-6A4B-A2DC-06F37F35EB05}"/>
                </c:ext>
              </c:extLst>
            </c:dLbl>
            <c:dLbl>
              <c:idx val="2"/>
              <c:layout>
                <c:manualLayout>
                  <c:x val="-7.4352037926694828E-2"/>
                  <c:y val="-4.04072413594523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934-6A4B-A2DC-06F37F35EB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'30. Fixed BB per operator'!$G$2:$K$2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'30. Fixed BB per operator'!$G$4:$K$4</c:f>
              <c:numCache>
                <c:formatCode>#,##0</c:formatCode>
                <c:ptCount val="5"/>
                <c:pt idx="0">
                  <c:v>82851</c:v>
                </c:pt>
                <c:pt idx="1">
                  <c:v>86008</c:v>
                </c:pt>
                <c:pt idx="2">
                  <c:v>88806</c:v>
                </c:pt>
                <c:pt idx="3">
                  <c:v>90076</c:v>
                </c:pt>
                <c:pt idx="4">
                  <c:v>94337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34-6A4B-A2DC-06F37F35E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652959"/>
        <c:axId val="1571683775"/>
      </c:lineChart>
      <c:catAx>
        <c:axId val="111265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571683775"/>
        <c:crosses val="autoZero"/>
        <c:auto val="1"/>
        <c:lblAlgn val="ctr"/>
        <c:lblOffset val="100"/>
        <c:noMultiLvlLbl val="0"/>
      </c:catAx>
      <c:valAx>
        <c:axId val="157168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Fixed Broadband Subscriptions 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203912996024011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11265295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2225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'31. Fixed Broadband Traffic'!$A$3</c:f>
              <c:strCache>
                <c:ptCount val="1"/>
                <c:pt idx="0">
                  <c:v>MTN Traffic (TB)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'31. Fixed Broadband Traffic'!$G$2:$K$2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'31. Fixed Broadband Traffic'!$G$3:$K$3</c:f>
              <c:numCache>
                <c:formatCode>#,##0</c:formatCode>
                <c:ptCount val="5"/>
                <c:pt idx="0">
                  <c:v>59475.723665999998</c:v>
                </c:pt>
                <c:pt idx="1">
                  <c:v>65062.839113640002</c:v>
                </c:pt>
                <c:pt idx="2">
                  <c:v>69811.973412000007</c:v>
                </c:pt>
                <c:pt idx="3">
                  <c:v>73449.003769999996</c:v>
                </c:pt>
                <c:pt idx="4">
                  <c:v>69650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6-1441-8C49-0192751628ED}"/>
            </c:ext>
          </c:extLst>
        </c:ser>
        <c:ser>
          <c:idx val="1"/>
          <c:order val="1"/>
          <c:tx>
            <c:strRef>
              <c:f>'31. Fixed Broadband Traffic'!$A$4</c:f>
              <c:strCache>
                <c:ptCount val="1"/>
                <c:pt idx="0">
                  <c:v>Telecel Traffic (TB)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'31. Fixed Broadband Traffic'!$G$2:$K$2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'31. Fixed Broadband Traffic'!$G$4:$K$4</c:f>
              <c:numCache>
                <c:formatCode>#,##0</c:formatCode>
                <c:ptCount val="5"/>
                <c:pt idx="0">
                  <c:v>52698.555370000002</c:v>
                </c:pt>
                <c:pt idx="1">
                  <c:v>54347.852138379996</c:v>
                </c:pt>
                <c:pt idx="2">
                  <c:v>55642.980227</c:v>
                </c:pt>
                <c:pt idx="3">
                  <c:v>56760.252505999997</c:v>
                </c:pt>
                <c:pt idx="4">
                  <c:v>55312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6-1441-8C49-019275162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43"/>
        <c:axId val="1503797887"/>
        <c:axId val="1504408079"/>
      </c:barChart>
      <c:lineChart>
        <c:grouping val="standard"/>
        <c:varyColors val="0"/>
        <c:ser>
          <c:idx val="2"/>
          <c:order val="2"/>
          <c:tx>
            <c:strRef>
              <c:f>'31. Fixed Broadband Traffic'!$A$5</c:f>
              <c:strCache>
                <c:ptCount val="1"/>
                <c:pt idx="0">
                  <c:v>Total Fixed Broadband Traffic (TB)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7.72388116022239E-2"/>
                  <c:y val="-4.61215932914046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A6-1441-8C49-0192751628ED}"/>
                </c:ext>
              </c:extLst>
            </c:dLbl>
            <c:dLbl>
              <c:idx val="1"/>
              <c:layout>
                <c:manualLayout>
                  <c:x val="-7.6677316293929709E-2"/>
                  <c:y val="-3.77358490566037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FA6-1441-8C49-0192751628ED}"/>
                </c:ext>
              </c:extLst>
            </c:dLbl>
            <c:dLbl>
              <c:idx val="2"/>
              <c:layout>
                <c:manualLayout>
                  <c:x val="-8.3067092651757185E-2"/>
                  <c:y val="-2.51572327044025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A6-1441-8C49-0192751628ED}"/>
                </c:ext>
              </c:extLst>
            </c:dLbl>
            <c:dLbl>
              <c:idx val="3"/>
              <c:layout>
                <c:manualLayout>
                  <c:x val="-3.8338658146964973E-2"/>
                  <c:y val="-2.5157232704402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D41-7246-9BF1-5EB5A972093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'31. Fixed Broadband Traffic'!$G$2:$K$2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'31. Fixed Broadband Traffic'!$G$5:$K$5</c:f>
              <c:numCache>
                <c:formatCode>#,##0</c:formatCode>
                <c:ptCount val="5"/>
                <c:pt idx="0">
                  <c:v>112174.27903599999</c:v>
                </c:pt>
                <c:pt idx="1">
                  <c:v>119410.69125202</c:v>
                </c:pt>
                <c:pt idx="2">
                  <c:v>125454.95363900001</c:v>
                </c:pt>
                <c:pt idx="3">
                  <c:v>130209.256276</c:v>
                </c:pt>
                <c:pt idx="4">
                  <c:v>124962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A6-1441-8C49-019275162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3797887"/>
        <c:axId val="1504408079"/>
      </c:lineChart>
      <c:catAx>
        <c:axId val="150379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504408079"/>
        <c:crosses val="autoZero"/>
        <c:auto val="1"/>
        <c:lblAlgn val="ctr"/>
        <c:lblOffset val="100"/>
        <c:noMultiLvlLbl val="0"/>
      </c:catAx>
      <c:valAx>
        <c:axId val="150440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Fixed Broadband Traffic(Thousands)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50379788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44450</xdr:colOff>
      <xdr:row>2</xdr:row>
      <xdr:rowOff>25400</xdr:rowOff>
    </xdr:from>
    <xdr:to>
      <xdr:col>18</xdr:col>
      <xdr:colOff>501650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A5C89D-7C8D-5FF8-EE36-5FEE072D0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247650</xdr:colOff>
      <xdr:row>6</xdr:row>
      <xdr:rowOff>184150</xdr:rowOff>
    </xdr:from>
    <xdr:to>
      <xdr:col>17</xdr:col>
      <xdr:colOff>704850</xdr:colOff>
      <xdr:row>22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1BB1BB-6753-470F-E2AB-B6939D5AF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12</xdr:row>
      <xdr:rowOff>19050</xdr:rowOff>
    </xdr:from>
    <xdr:to>
      <xdr:col>7</xdr:col>
      <xdr:colOff>723900</xdr:colOff>
      <xdr:row>26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31CEA2-0344-8D32-0FB4-F4EABAAA8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12700</xdr:colOff>
      <xdr:row>5</xdr:row>
      <xdr:rowOff>114300</xdr:rowOff>
    </xdr:from>
    <xdr:to>
      <xdr:col>18</xdr:col>
      <xdr:colOff>292100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28F1C1-2D4D-26AD-9099-2BD10D431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330200</xdr:colOff>
      <xdr:row>29</xdr:row>
      <xdr:rowOff>171450</xdr:rowOff>
    </xdr:from>
    <xdr:to>
      <xdr:col>9</xdr:col>
      <xdr:colOff>762000</xdr:colOff>
      <xdr:row>45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5E09BF-AAAB-1B3B-DC47-07060EDA3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558800</xdr:colOff>
      <xdr:row>8</xdr:row>
      <xdr:rowOff>146050</xdr:rowOff>
    </xdr:from>
    <xdr:to>
      <xdr:col>10</xdr:col>
      <xdr:colOff>266700</xdr:colOff>
      <xdr:row>24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FCF065-9785-7E1A-B5E1-B5CB46637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646891</xdr:colOff>
      <xdr:row>2</xdr:row>
      <xdr:rowOff>46443</xdr:rowOff>
    </xdr:from>
    <xdr:to>
      <xdr:col>19</xdr:col>
      <xdr:colOff>253441</xdr:colOff>
      <xdr:row>18</xdr:row>
      <xdr:rowOff>1993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1F0C53-8BB9-1A18-D0B2-4344F1B49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673100</xdr:colOff>
      <xdr:row>2</xdr:row>
      <xdr:rowOff>69850</xdr:rowOff>
    </xdr:from>
    <xdr:to>
      <xdr:col>20</xdr:col>
      <xdr:colOff>457200</xdr:colOff>
      <xdr:row>17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AC2A26-24DE-5361-EE5F-38D9C73CB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inkp-123\share\share\DOCUME~1\basit.m\LOCALS~1\Temp\Documents%20and%20Settings\ather.s\Local%20Settings\Temporary%20Internet%20Files\OLK175\OA%20Add%20Jan-Mar%202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JOSHUA%20PEPRAH\Local%20Settings\Temporary%20Internet%20Files\Content.Outlook\OPQRPSS4\ICC\Thailand\LMM3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&amp;F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ModelSettings"/>
      <sheetName val="Capital Equipment items"/>
      <sheetName val="Current account items"/>
      <sheetName val="Depreciation Periods"/>
      <sheetName val="Operating costs"/>
      <sheetName val="Annualisation"/>
      <sheetName val="Annual dep + ROCE unit costs"/>
      <sheetName val="Annual opex unit costs"/>
      <sheetName val="Annual dep + Roce total"/>
      <sheetName val="Annual opex total"/>
      <sheetName val="CostsYear-5"/>
      <sheetName val="CostsYear-4"/>
      <sheetName val="CostsYear-3"/>
      <sheetName val="CostsYear-2"/>
      <sheetName val="CostsYear-1"/>
      <sheetName val="CostsYear1"/>
      <sheetName val="CostsYear2"/>
      <sheetName val="CostsYear3"/>
      <sheetName val="CostsYear4"/>
      <sheetName val="CostsYear5"/>
      <sheetName val="CostsYear6"/>
      <sheetName val="CostsYear7"/>
      <sheetName val="CostsYear8"/>
      <sheetName val="CostsYear9"/>
      <sheetName val="CostsYear10"/>
      <sheetName val="TotalCostByYear_old"/>
      <sheetName val="TotalCostByYear"/>
      <sheetName val="DriverValues"/>
      <sheetName val="DriverMatrix"/>
      <sheetName val="CPcompYrMinus5"/>
      <sheetName val="CPcompYrMinus4"/>
      <sheetName val="CPcompYrMinus3"/>
      <sheetName val="CPcompYrMinus2"/>
      <sheetName val="CPcompYrMinus1"/>
      <sheetName val="CPcompYr1"/>
      <sheetName val="CPcompYr2"/>
      <sheetName val="CPcompYr3"/>
      <sheetName val="CPcompYr4"/>
      <sheetName val="CPcompYr5"/>
      <sheetName val="CPcompYr6"/>
      <sheetName val="CPcompYr7"/>
      <sheetName val="CPcompYr8"/>
      <sheetName val="CPcompYr9"/>
      <sheetName val="CPcompYr10"/>
      <sheetName val="CostPools"/>
      <sheetName val="MOURouting"/>
      <sheetName val="AllocFactors"/>
      <sheetName val="UnitCosts"/>
      <sheetName val="Services"/>
      <sheetName val="FillRanges"/>
      <sheetName val="OldServ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99336-A0E4-0145-AC44-FC39C400FD39}">
  <dimension ref="B2:L18"/>
  <sheetViews>
    <sheetView workbookViewId="0">
      <pane xSplit="2" ySplit="2" topLeftCell="J3" activePane="bottomRight" state="frozen"/>
      <selection pane="bottomRight" activeCell="H2" sqref="H2:L11"/>
      <selection pane="bottomLeft" activeCell="A3" sqref="A3"/>
      <selection pane="topRight" activeCell="C1" sqref="C1"/>
    </sheetView>
  </sheetViews>
  <sheetFormatPr defaultColWidth="11" defaultRowHeight="15.6"/>
  <cols>
    <col min="1" max="1" width="5.125" customWidth="1"/>
    <col min="2" max="2" width="22" customWidth="1"/>
    <col min="3" max="7" width="16.125" customWidth="1"/>
    <col min="8" max="8" width="12.625" customWidth="1"/>
    <col min="12" max="12" width="13.125" customWidth="1"/>
  </cols>
  <sheetData>
    <row r="2" spans="2:12" ht="24.95" customHeight="1">
      <c r="B2" s="1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26" t="s">
        <v>7</v>
      </c>
      <c r="J2" s="5" t="s">
        <v>8</v>
      </c>
      <c r="K2" s="5" t="s">
        <v>9</v>
      </c>
      <c r="L2" s="5" t="s">
        <v>10</v>
      </c>
    </row>
    <row r="3" spans="2:12" ht="18.95" customHeight="1">
      <c r="B3" s="105" t="s">
        <v>11</v>
      </c>
      <c r="C3" s="2">
        <v>316120</v>
      </c>
      <c r="D3" s="2">
        <v>314143</v>
      </c>
      <c r="E3" s="2">
        <v>303575</v>
      </c>
      <c r="F3" s="2">
        <v>302890</v>
      </c>
      <c r="G3" s="6">
        <v>261553</v>
      </c>
      <c r="H3" s="73">
        <v>260250</v>
      </c>
      <c r="I3" s="73">
        <v>259442</v>
      </c>
      <c r="J3" s="73">
        <v>258552</v>
      </c>
      <c r="K3" s="6">
        <v>257536</v>
      </c>
      <c r="L3" s="73">
        <v>254778</v>
      </c>
    </row>
    <row r="4" spans="2:12">
      <c r="B4" s="105"/>
      <c r="C4" s="4">
        <v>0.99270000000000003</v>
      </c>
      <c r="D4" s="4">
        <v>0.99180000000000001</v>
      </c>
      <c r="E4" s="4">
        <v>0.99119999999999997</v>
      </c>
      <c r="F4" s="4">
        <v>0.95799999999999996</v>
      </c>
      <c r="G4" s="16">
        <v>0.97099999999999997</v>
      </c>
      <c r="H4" s="74">
        <f>H3/H9</f>
        <v>0.97151347053355785</v>
      </c>
      <c r="I4" s="68">
        <f>I3/I9</f>
        <v>0.97048613708796549</v>
      </c>
      <c r="J4" s="96">
        <f>J3/J9</f>
        <v>0.96923076923076923</v>
      </c>
      <c r="K4" s="16">
        <f>K3/K9</f>
        <v>0.97096925002639156</v>
      </c>
      <c r="L4" s="74">
        <f>L3/L9</f>
        <v>0.97161554566567898</v>
      </c>
    </row>
    <row r="5" spans="2:12">
      <c r="B5" s="103" t="s">
        <v>12</v>
      </c>
      <c r="C5" s="3">
        <v>933</v>
      </c>
      <c r="D5" s="3">
        <v>946</v>
      </c>
      <c r="E5" s="3">
        <v>929</v>
      </c>
      <c r="F5" s="3">
        <v>943</v>
      </c>
      <c r="G5" s="19">
        <v>912</v>
      </c>
      <c r="H5" s="75">
        <v>870</v>
      </c>
      <c r="I5" s="79">
        <v>868</v>
      </c>
      <c r="J5" s="97">
        <v>791</v>
      </c>
      <c r="K5" s="101">
        <v>773</v>
      </c>
      <c r="L5" s="75">
        <v>732</v>
      </c>
    </row>
    <row r="6" spans="2:12">
      <c r="B6" s="103"/>
      <c r="C6" s="4">
        <v>2.8999999999999998E-3</v>
      </c>
      <c r="D6" s="4">
        <v>3.0000000000000001E-3</v>
      </c>
      <c r="E6" s="4">
        <v>3.0000000000000001E-3</v>
      </c>
      <c r="F6" s="4">
        <v>3.0000000000000001E-3</v>
      </c>
      <c r="G6" s="16">
        <v>3.3999999999999998E-3</v>
      </c>
      <c r="H6" s="74">
        <f>H5/H9</f>
        <v>3.2477107372303375E-3</v>
      </c>
      <c r="I6" s="68">
        <f>I5/I9</f>
        <v>3.2468989870273668E-3</v>
      </c>
      <c r="J6" s="96">
        <f>J5/J9</f>
        <v>2.9652121757384915E-3</v>
      </c>
      <c r="K6" s="16">
        <f>K5/K9</f>
        <v>2.9143856791687402E-3</v>
      </c>
      <c r="L6" s="74">
        <f>L5/L9</f>
        <v>2.7915384351367739E-3</v>
      </c>
    </row>
    <row r="7" spans="2:12">
      <c r="B7" s="104" t="s">
        <v>13</v>
      </c>
      <c r="C7" s="2">
        <v>1407</v>
      </c>
      <c r="D7" s="2">
        <v>1664</v>
      </c>
      <c r="E7" s="2">
        <v>1776</v>
      </c>
      <c r="F7" s="2">
        <v>12321</v>
      </c>
      <c r="G7" s="2">
        <v>6891</v>
      </c>
      <c r="H7" s="55">
        <v>6761</v>
      </c>
      <c r="I7" s="55">
        <v>7022</v>
      </c>
      <c r="J7" s="55">
        <v>7417</v>
      </c>
      <c r="K7" s="2">
        <v>6927</v>
      </c>
      <c r="L7" s="102">
        <v>6711</v>
      </c>
    </row>
    <row r="8" spans="2:12">
      <c r="B8" s="104"/>
      <c r="C8" s="4">
        <v>4.4000000000000003E-3</v>
      </c>
      <c r="D8" s="4">
        <v>5.3E-3</v>
      </c>
      <c r="E8" s="4">
        <v>5.7999999999999996E-3</v>
      </c>
      <c r="F8" s="4">
        <v>3.9E-2</v>
      </c>
      <c r="G8" s="16">
        <v>2.5600000000000001E-2</v>
      </c>
      <c r="H8" s="74">
        <f>H7/H9</f>
        <v>2.523881872921185E-2</v>
      </c>
      <c r="I8" s="68">
        <f>I7/I9</f>
        <v>2.6266963925007106E-2</v>
      </c>
      <c r="J8" s="96">
        <f>J7/J9</f>
        <v>2.7804018593492279E-2</v>
      </c>
      <c r="K8" s="16">
        <f>K7/K9</f>
        <v>2.611636429443967E-2</v>
      </c>
      <c r="L8" s="74">
        <v>66.69</v>
      </c>
    </row>
    <row r="9" spans="2:12" ht="20.100000000000001" customHeight="1">
      <c r="B9" s="1" t="s">
        <v>14</v>
      </c>
      <c r="C9" s="13">
        <v>318460</v>
      </c>
      <c r="D9" s="13">
        <v>316753</v>
      </c>
      <c r="E9" s="13">
        <v>306280</v>
      </c>
      <c r="F9" s="13">
        <v>316154</v>
      </c>
      <c r="G9" s="17">
        <v>269356</v>
      </c>
      <c r="H9" s="76">
        <f>SUM(H3,H5,H7)</f>
        <v>267881</v>
      </c>
      <c r="I9" s="69">
        <f>SUM(I3,I5,I7)</f>
        <v>267332</v>
      </c>
      <c r="J9" s="98">
        <f>SUM(J3,J5,J7)</f>
        <v>266760</v>
      </c>
      <c r="K9" s="17">
        <f>SUM(K3,K5,K7)</f>
        <v>265236</v>
      </c>
      <c r="L9" s="76">
        <f>SUM(L3,L5,L7)</f>
        <v>262221</v>
      </c>
    </row>
    <row r="10" spans="2:12" ht="20.100000000000001" customHeight="1">
      <c r="B10" s="1" t="s">
        <v>15</v>
      </c>
      <c r="C10" s="2">
        <v>32429591</v>
      </c>
      <c r="D10" s="2">
        <v>32594648</v>
      </c>
      <c r="E10" s="2">
        <v>32759699</v>
      </c>
      <c r="F10" s="2">
        <v>32924755</v>
      </c>
      <c r="G10" s="2">
        <v>33089811</v>
      </c>
      <c r="H10" s="2">
        <v>33254867.455426469</v>
      </c>
      <c r="I10" s="2">
        <v>33419924</v>
      </c>
      <c r="J10" s="55">
        <v>33584979.588049464</v>
      </c>
      <c r="K10" s="2">
        <v>33750035.654360972</v>
      </c>
      <c r="L10" s="2">
        <v>33915092</v>
      </c>
    </row>
    <row r="11" spans="2:12" ht="27.95" customHeight="1">
      <c r="B11" s="15" t="s">
        <v>16</v>
      </c>
      <c r="C11" s="14">
        <v>9.7999999999999997E-3</v>
      </c>
      <c r="D11" s="14">
        <v>9.7000000000000003E-3</v>
      </c>
      <c r="E11" s="14">
        <v>9.2999999999999992E-3</v>
      </c>
      <c r="F11" s="14">
        <v>9.5999999999999992E-3</v>
      </c>
      <c r="G11" s="20">
        <v>8.0999999999999996E-3</v>
      </c>
      <c r="H11" s="77">
        <f>H9/H10</f>
        <v>8.0553922026319093E-3</v>
      </c>
      <c r="I11" s="70">
        <f>I9/I10</f>
        <v>7.9991803691713964E-3</v>
      </c>
      <c r="J11" s="99">
        <f>J9/J10</f>
        <v>7.9428364486760373E-3</v>
      </c>
      <c r="K11" s="20">
        <f>K9/K10</f>
        <v>7.858836142169463E-3</v>
      </c>
      <c r="L11" s="77">
        <f>L9/L10</f>
        <v>7.731690658542221E-3</v>
      </c>
    </row>
    <row r="12" spans="2:12">
      <c r="I12" s="80"/>
      <c r="J12" s="80"/>
      <c r="K12" s="100"/>
    </row>
    <row r="13" spans="2:12">
      <c r="B13" s="56" t="s">
        <v>17</v>
      </c>
      <c r="C13" s="18"/>
      <c r="D13" s="27">
        <f t="shared" ref="D13:H13" si="0">D9/C9-1</f>
        <v>-5.3601708220812894E-3</v>
      </c>
      <c r="E13" s="27">
        <f t="shared" si="0"/>
        <v>-3.3063617392731892E-2</v>
      </c>
      <c r="F13" s="27">
        <f t="shared" si="0"/>
        <v>3.2238474598406786E-2</v>
      </c>
      <c r="G13" s="27">
        <f t="shared" si="0"/>
        <v>-0.14802279901566961</v>
      </c>
      <c r="H13" s="78">
        <f t="shared" si="0"/>
        <v>-5.4760242949850602E-3</v>
      </c>
      <c r="I13" s="72">
        <f>I9/H9-1</f>
        <v>-2.0494174652178065E-3</v>
      </c>
      <c r="J13" s="72">
        <f>J9/I9-1</f>
        <v>-2.1396615444465583E-3</v>
      </c>
      <c r="K13" s="72">
        <f>K9/J9-1</f>
        <v>-5.7130004498425757E-3</v>
      </c>
      <c r="L13" s="78">
        <f t="shared" ref="L13" si="1">L9/K9-1</f>
        <v>-1.1367235216938831E-2</v>
      </c>
    </row>
    <row r="14" spans="2:12">
      <c r="B14" s="54" t="s">
        <v>18</v>
      </c>
      <c r="C14" s="18"/>
      <c r="D14" s="18"/>
      <c r="E14" s="18"/>
      <c r="F14" s="18"/>
      <c r="G14" s="27">
        <f t="shared" ref="G14:L14" si="2">G9/C9-1</f>
        <v>-0.15419204923695284</v>
      </c>
      <c r="H14" s="78">
        <f t="shared" si="2"/>
        <v>-0.1542905670980228</v>
      </c>
      <c r="I14" s="72">
        <f t="shared" si="2"/>
        <v>-0.1271646859083192</v>
      </c>
      <c r="J14" s="72">
        <f t="shared" si="2"/>
        <v>-0.15623398723406945</v>
      </c>
      <c r="K14" s="72">
        <f t="shared" si="2"/>
        <v>-1.5295742437517634E-2</v>
      </c>
      <c r="L14" s="78">
        <f t="shared" si="2"/>
        <v>-2.1128784796234146E-2</v>
      </c>
    </row>
    <row r="18" spans="9:9">
      <c r="I18" s="2"/>
    </row>
  </sheetData>
  <mergeCells count="3">
    <mergeCell ref="B5:B6"/>
    <mergeCell ref="B7:B8"/>
    <mergeCell ref="B3:B4"/>
  </mergeCells>
  <phoneticPr fontId="1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B0684-BC8C-9046-B455-EFF8F6F487FB}">
  <dimension ref="B2:L13"/>
  <sheetViews>
    <sheetView workbookViewId="0">
      <pane xSplit="2" ySplit="2" topLeftCell="H3" activePane="bottomRight" state="frozen"/>
      <selection pane="bottomRight" activeCell="K13" sqref="H13:K13"/>
      <selection pane="bottomLeft" activeCell="A3" sqref="A3"/>
      <selection pane="topRight" activeCell="C1" sqref="C1"/>
    </sheetView>
  </sheetViews>
  <sheetFormatPr defaultColWidth="11" defaultRowHeight="15.6"/>
  <cols>
    <col min="1" max="1" width="4.375" customWidth="1"/>
    <col min="2" max="2" width="20.375" customWidth="1"/>
    <col min="8" max="8" width="12" customWidth="1"/>
  </cols>
  <sheetData>
    <row r="2" spans="2:12" ht="23.1" customHeight="1">
      <c r="B2" s="5" t="s">
        <v>19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</row>
    <row r="3" spans="2:12" ht="21.75" customHeight="1">
      <c r="B3" s="1" t="s">
        <v>20</v>
      </c>
      <c r="C3" s="3" t="s">
        <v>21</v>
      </c>
      <c r="D3" s="3" t="s">
        <v>21</v>
      </c>
      <c r="E3" s="3" t="s">
        <v>21</v>
      </c>
      <c r="F3" s="3" t="s">
        <v>21</v>
      </c>
      <c r="G3" s="3" t="s">
        <v>21</v>
      </c>
      <c r="H3" s="2">
        <v>606666</v>
      </c>
      <c r="I3" s="2">
        <v>880856</v>
      </c>
      <c r="J3" s="2">
        <v>994193</v>
      </c>
      <c r="K3" s="2">
        <v>894149</v>
      </c>
      <c r="L3" s="2">
        <v>841005</v>
      </c>
    </row>
    <row r="4" spans="2:12">
      <c r="B4" s="1" t="s">
        <v>22</v>
      </c>
      <c r="C4" s="2">
        <v>7268804</v>
      </c>
      <c r="D4" s="2">
        <v>7038835</v>
      </c>
      <c r="E4" s="2">
        <v>6990723</v>
      </c>
      <c r="F4" s="2">
        <v>7241115</v>
      </c>
      <c r="G4" s="2">
        <v>5815131</v>
      </c>
      <c r="H4" s="2">
        <v>5898098</v>
      </c>
      <c r="I4" s="85">
        <v>5870022</v>
      </c>
      <c r="J4" s="85">
        <v>6176378</v>
      </c>
      <c r="K4" s="85">
        <v>6041489</v>
      </c>
      <c r="L4" s="2">
        <v>7221840</v>
      </c>
    </row>
    <row r="5" spans="2:12">
      <c r="B5" s="15" t="s">
        <v>23</v>
      </c>
      <c r="C5" s="13">
        <v>7268804</v>
      </c>
      <c r="D5" s="13">
        <v>7038835</v>
      </c>
      <c r="E5" s="13">
        <v>6990723</v>
      </c>
      <c r="F5" s="13">
        <v>7241115</v>
      </c>
      <c r="G5" s="13">
        <v>5815131</v>
      </c>
      <c r="H5" s="13">
        <f>SUM(H3:H4)</f>
        <v>6504764</v>
      </c>
      <c r="I5" s="13">
        <f>SUM(I3:I4)</f>
        <v>6750878</v>
      </c>
      <c r="J5" s="13">
        <f>SUM(J3:J4)</f>
        <v>7170571</v>
      </c>
      <c r="K5" s="13">
        <f>SUM(K3:K4)</f>
        <v>6935638</v>
      </c>
      <c r="L5" s="13">
        <f>SUM(L3:L4)</f>
        <v>8062845</v>
      </c>
    </row>
    <row r="6" spans="2:12">
      <c r="I6">
        <v>7790865</v>
      </c>
    </row>
    <row r="8" spans="2:12">
      <c r="B8" s="41" t="s">
        <v>17</v>
      </c>
      <c r="C8" s="18"/>
      <c r="D8" s="27">
        <f t="shared" ref="D8:L8" si="0">D5/C5-1</f>
        <v>-3.163780451364484E-2</v>
      </c>
      <c r="E8" s="27">
        <f t="shared" si="0"/>
        <v>-6.8352220218260706E-3</v>
      </c>
      <c r="F8" s="27">
        <f t="shared" si="0"/>
        <v>3.5817754472606156E-2</v>
      </c>
      <c r="G8" s="27">
        <f t="shared" si="0"/>
        <v>-0.19692878790075841</v>
      </c>
      <c r="H8" s="27">
        <f t="shared" si="0"/>
        <v>0.1185928571514554</v>
      </c>
      <c r="I8" s="27">
        <f t="shared" si="0"/>
        <v>3.7835961458401846E-2</v>
      </c>
      <c r="J8" s="27">
        <f t="shared" si="0"/>
        <v>6.216865421060791E-2</v>
      </c>
      <c r="K8" s="27">
        <f t="shared" si="0"/>
        <v>-3.2763499587410871E-2</v>
      </c>
      <c r="L8" s="27">
        <f t="shared" si="0"/>
        <v>0.16252390911982428</v>
      </c>
    </row>
    <row r="9" spans="2:12">
      <c r="B9" s="57" t="s">
        <v>18</v>
      </c>
      <c r="C9" s="18"/>
      <c r="D9" s="18"/>
      <c r="E9" s="18"/>
      <c r="F9" s="18"/>
      <c r="G9" s="27">
        <f t="shared" ref="G9:L9" si="1">G5/C5-1</f>
        <v>-0.19998792098397478</v>
      </c>
      <c r="H9" s="27">
        <f t="shared" si="1"/>
        <v>-7.5874913959483314E-2</v>
      </c>
      <c r="I9" s="27">
        <f t="shared" si="1"/>
        <v>-3.4309040710095329E-2</v>
      </c>
      <c r="J9" s="27">
        <f t="shared" si="1"/>
        <v>-9.7421460645218394E-3</v>
      </c>
      <c r="K9" s="27">
        <f t="shared" si="1"/>
        <v>0.19268817847783648</v>
      </c>
      <c r="L9" s="27">
        <f t="shared" si="1"/>
        <v>0.23952921274315253</v>
      </c>
    </row>
    <row r="13" spans="2:12">
      <c r="H13">
        <f t="shared" ref="H13:J13" si="2">H5/1000000</f>
        <v>6.5047639999999998</v>
      </c>
      <c r="I13">
        <f t="shared" si="2"/>
        <v>6.7508780000000002</v>
      </c>
      <c r="J13">
        <f t="shared" si="2"/>
        <v>7.1705709999999998</v>
      </c>
      <c r="K13">
        <f>K5/1000000</f>
        <v>6.935638</v>
      </c>
      <c r="L13">
        <f>L5/1000000</f>
        <v>8.0628449999999994</v>
      </c>
    </row>
  </sheetData>
  <phoneticPr fontId="1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81F3-8CB9-6C46-97D2-53F9ECE9D003}">
  <dimension ref="B1:L11"/>
  <sheetViews>
    <sheetView workbookViewId="0">
      <pane xSplit="2" ySplit="2" topLeftCell="F3" activePane="bottomRight" state="frozen"/>
      <selection pane="bottomRight" activeCell="J37" sqref="J37"/>
      <selection pane="bottomLeft" activeCell="A3" sqref="A3"/>
      <selection pane="topRight" activeCell="C1" sqref="C1"/>
    </sheetView>
  </sheetViews>
  <sheetFormatPr defaultColWidth="11" defaultRowHeight="15.6"/>
  <cols>
    <col min="1" max="1" width="8.125" customWidth="1"/>
    <col min="2" max="7" width="17.875" customWidth="1"/>
    <col min="8" max="8" width="14.625" customWidth="1"/>
    <col min="12" max="12" width="11.375" customWidth="1"/>
  </cols>
  <sheetData>
    <row r="1" spans="2:12" ht="21.95" customHeight="1"/>
    <row r="2" spans="2:12" ht="24.95" customHeight="1">
      <c r="B2" s="15" t="s">
        <v>24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</row>
    <row r="3" spans="2:12" ht="24.95">
      <c r="B3" s="1" t="s">
        <v>23</v>
      </c>
      <c r="C3" s="2">
        <v>7268804</v>
      </c>
      <c r="D3" s="2">
        <v>7038835</v>
      </c>
      <c r="E3" s="2">
        <v>6990723</v>
      </c>
      <c r="F3" s="2">
        <v>7241115</v>
      </c>
      <c r="G3" s="2">
        <v>5815131</v>
      </c>
      <c r="H3" s="2">
        <v>6504764</v>
      </c>
      <c r="I3" s="2">
        <v>6750878</v>
      </c>
      <c r="J3" s="2">
        <v>7170571</v>
      </c>
      <c r="K3" s="2">
        <v>6935638</v>
      </c>
      <c r="L3" s="2">
        <v>8062845</v>
      </c>
    </row>
    <row r="4" spans="2:12" ht="24.95">
      <c r="B4" s="1" t="s">
        <v>25</v>
      </c>
      <c r="C4" s="2">
        <v>318658</v>
      </c>
      <c r="D4" s="2">
        <v>316753</v>
      </c>
      <c r="E4" s="2">
        <v>306280</v>
      </c>
      <c r="F4" s="2">
        <v>316154</v>
      </c>
      <c r="G4" s="2">
        <v>269356</v>
      </c>
      <c r="H4" s="2">
        <v>268674</v>
      </c>
      <c r="I4" s="2">
        <v>267332</v>
      </c>
      <c r="J4" s="2">
        <v>269784</v>
      </c>
      <c r="K4" s="2">
        <v>265613</v>
      </c>
      <c r="L4" s="2">
        <v>264220</v>
      </c>
    </row>
    <row r="5" spans="2:12" ht="24.95">
      <c r="B5" s="1" t="s">
        <v>26</v>
      </c>
      <c r="C5" s="3">
        <v>22.811</v>
      </c>
      <c r="D5" s="30">
        <v>22.222000000000001</v>
      </c>
      <c r="E5" s="30">
        <v>22.824999999999999</v>
      </c>
      <c r="F5" s="30">
        <v>22.9</v>
      </c>
      <c r="G5" s="3">
        <v>21.59</v>
      </c>
      <c r="H5" s="30">
        <f>H3/H4</f>
        <v>24.21061956125267</v>
      </c>
      <c r="I5" s="30">
        <f>I3/I4</f>
        <v>25.252786796941631</v>
      </c>
      <c r="J5" s="30">
        <f>J3/J4</f>
        <v>26.578933517184119</v>
      </c>
      <c r="K5" s="30">
        <f>K3/K4</f>
        <v>26.111816816194992</v>
      </c>
      <c r="L5" s="30">
        <f>L3/L4</f>
        <v>30.515649837256831</v>
      </c>
    </row>
    <row r="6" spans="2:12">
      <c r="B6" s="15" t="s">
        <v>27</v>
      </c>
      <c r="C6" s="14">
        <v>-7.6999999999999999E-2</v>
      </c>
      <c r="D6" s="14">
        <v>-2.58E-2</v>
      </c>
      <c r="E6" s="14">
        <v>2.7099999999999999E-2</v>
      </c>
      <c r="F6" s="14">
        <v>3.5000000000000001E-3</v>
      </c>
      <c r="G6" s="14">
        <v>-5.74E-2</v>
      </c>
      <c r="H6" s="14">
        <f>H5/G5-1</f>
        <v>0.12138117467589948</v>
      </c>
      <c r="I6" s="14">
        <f>I5/H5-1</f>
        <v>4.3045872207123193E-2</v>
      </c>
      <c r="J6" s="14">
        <f>J5/I5-1</f>
        <v>5.2514866216789136E-2</v>
      </c>
      <c r="K6" s="14">
        <f>K5/J5-1</f>
        <v>-1.7574696918787991E-2</v>
      </c>
      <c r="L6" s="14">
        <f>L5/K5-1</f>
        <v>0.16865287666733741</v>
      </c>
    </row>
    <row r="7" spans="2:12">
      <c r="I7" s="94"/>
      <c r="J7" s="94"/>
      <c r="K7" s="94"/>
    </row>
    <row r="9" spans="2:12">
      <c r="C9" s="5" t="s">
        <v>1</v>
      </c>
      <c r="D9" s="5" t="s">
        <v>2</v>
      </c>
      <c r="E9" s="5" t="s">
        <v>3</v>
      </c>
      <c r="F9" s="5" t="s">
        <v>4</v>
      </c>
      <c r="G9" s="5" t="s">
        <v>5</v>
      </c>
      <c r="H9" s="5" t="s">
        <v>6</v>
      </c>
      <c r="I9" s="5" t="s">
        <v>7</v>
      </c>
      <c r="J9" s="5" t="s">
        <v>28</v>
      </c>
      <c r="K9" s="5" t="s">
        <v>29</v>
      </c>
      <c r="L9" s="5" t="s">
        <v>10</v>
      </c>
    </row>
    <row r="10" spans="2:12" ht="20.100000000000001" customHeight="1">
      <c r="B10" s="43" t="s">
        <v>17</v>
      </c>
      <c r="C10" s="18"/>
      <c r="D10" s="42">
        <f t="shared" ref="D10:H10" si="0">D5/C5-1</f>
        <v>-2.5820875893209361E-2</v>
      </c>
      <c r="E10" s="42">
        <f t="shared" si="0"/>
        <v>2.7135271352713541E-2</v>
      </c>
      <c r="F10" s="42">
        <f t="shared" si="0"/>
        <v>3.2858707557501532E-3</v>
      </c>
      <c r="G10" s="42">
        <f t="shared" si="0"/>
        <v>-5.7205240174672434E-2</v>
      </c>
      <c r="H10" s="42">
        <f t="shared" si="0"/>
        <v>0.12138117467589948</v>
      </c>
      <c r="I10" s="42">
        <f>I5/H5-1</f>
        <v>4.3045872207123193E-2</v>
      </c>
      <c r="J10" s="42">
        <f>J5/I5-1</f>
        <v>5.2514866216789136E-2</v>
      </c>
      <c r="K10" s="42">
        <f>K5/J5-1</f>
        <v>-1.7574696918787991E-2</v>
      </c>
      <c r="L10" s="42">
        <f t="shared" ref="L10" si="1">L5/K5-1</f>
        <v>0.16865287666733741</v>
      </c>
    </row>
    <row r="11" spans="2:12" ht="20.100000000000001" customHeight="1">
      <c r="B11" s="44" t="s">
        <v>18</v>
      </c>
      <c r="C11" s="18"/>
      <c r="D11" s="18"/>
      <c r="E11" s="18"/>
      <c r="F11" s="18"/>
      <c r="G11" s="42">
        <f t="shared" ref="G11:L11" si="2">G5/C5-1</f>
        <v>-5.352680724212E-2</v>
      </c>
      <c r="H11" s="42">
        <f t="shared" si="2"/>
        <v>8.9488775144121568E-2</v>
      </c>
      <c r="I11" s="42">
        <f t="shared" si="2"/>
        <v>0.1063652484968951</v>
      </c>
      <c r="J11" s="42">
        <f t="shared" si="2"/>
        <v>0.16065211865432838</v>
      </c>
      <c r="K11" s="42">
        <f t="shared" si="2"/>
        <v>0.20944033423784125</v>
      </c>
      <c r="L11" s="42">
        <f t="shared" si="2"/>
        <v>0.26042416056526285</v>
      </c>
    </row>
  </sheetData>
  <phoneticPr fontId="1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4D694-969F-A24C-B609-BD2E77C4F5E0}">
  <dimension ref="A2:K14"/>
  <sheetViews>
    <sheetView workbookViewId="0">
      <pane xSplit="1" ySplit="2" topLeftCell="K3" activePane="bottomRight" state="frozen"/>
      <selection pane="bottomRight" activeCell="G11" sqref="G11:K11"/>
      <selection pane="bottomLeft" activeCell="A3" sqref="A3"/>
      <selection pane="topRight" activeCell="B1" sqref="B1"/>
    </sheetView>
  </sheetViews>
  <sheetFormatPr defaultColWidth="11" defaultRowHeight="15.6"/>
  <cols>
    <col min="1" max="1" width="21.625" customWidth="1"/>
  </cols>
  <sheetData>
    <row r="2" spans="1:11">
      <c r="A2" s="5" t="s">
        <v>30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7" t="s">
        <v>6</v>
      </c>
      <c r="H2" s="86" t="s">
        <v>7</v>
      </c>
      <c r="I2" s="5" t="s">
        <v>8</v>
      </c>
      <c r="J2" s="5" t="s">
        <v>9</v>
      </c>
      <c r="K2" s="5" t="s">
        <v>10</v>
      </c>
    </row>
    <row r="3" spans="1:11">
      <c r="A3" s="58" t="s">
        <v>11</v>
      </c>
      <c r="B3" s="2">
        <v>80465</v>
      </c>
      <c r="C3" s="2">
        <v>80788</v>
      </c>
      <c r="D3" s="2">
        <v>81473</v>
      </c>
      <c r="E3" s="2">
        <v>81468</v>
      </c>
      <c r="F3" s="6">
        <v>84307</v>
      </c>
      <c r="G3" s="73">
        <v>85284</v>
      </c>
      <c r="H3" s="73">
        <v>88438</v>
      </c>
      <c r="I3" s="73">
        <v>91217</v>
      </c>
      <c r="J3" s="6">
        <v>92515</v>
      </c>
      <c r="K3" s="6">
        <v>96845</v>
      </c>
    </row>
    <row r="4" spans="1:11">
      <c r="A4" s="58" t="s">
        <v>31</v>
      </c>
      <c r="B4" s="4">
        <v>0.68859999999999999</v>
      </c>
      <c r="C4" s="4">
        <v>0.67959999999999998</v>
      </c>
      <c r="D4" s="4">
        <v>0.67649999999999999</v>
      </c>
      <c r="E4" s="4">
        <v>0.66259999999999997</v>
      </c>
      <c r="F4" s="16">
        <v>0.66520000000000001</v>
      </c>
      <c r="G4" s="74">
        <f>G3/G9</f>
        <v>0.63705629257798491</v>
      </c>
      <c r="H4" s="74">
        <f>H3/H9</f>
        <v>0.60900163891528603</v>
      </c>
      <c r="I4" s="74">
        <f>I3/I9</f>
        <v>0.56290111571879942</v>
      </c>
      <c r="J4" s="16">
        <f>J3/J9</f>
        <v>0.52727718314354433</v>
      </c>
      <c r="K4" s="16">
        <f>K3/K9</f>
        <v>0.51216081146114834</v>
      </c>
    </row>
    <row r="5" spans="1:11">
      <c r="A5" s="60" t="s">
        <v>12</v>
      </c>
      <c r="B5" s="3">
        <v>348</v>
      </c>
      <c r="C5" s="3">
        <v>400</v>
      </c>
      <c r="D5" s="3">
        <v>405</v>
      </c>
      <c r="E5" s="3">
        <v>386</v>
      </c>
      <c r="F5" s="19">
        <v>394</v>
      </c>
      <c r="G5" s="73">
        <v>363</v>
      </c>
      <c r="H5" s="73">
        <v>378</v>
      </c>
      <c r="I5" s="73">
        <v>350</v>
      </c>
      <c r="J5" s="6">
        <v>343</v>
      </c>
      <c r="K5" s="6">
        <v>345</v>
      </c>
    </row>
    <row r="6" spans="1:11">
      <c r="A6" s="60" t="s">
        <v>31</v>
      </c>
      <c r="B6" s="4">
        <v>3.0000000000000001E-3</v>
      </c>
      <c r="C6" s="4">
        <v>3.3999999999999998E-3</v>
      </c>
      <c r="D6" s="4">
        <v>3.3999999999999998E-3</v>
      </c>
      <c r="E6" s="4">
        <v>3.0999999999999999E-3</v>
      </c>
      <c r="F6" s="16">
        <v>3.0999999999999999E-3</v>
      </c>
      <c r="G6" s="74">
        <f>G5/G9</f>
        <v>2.7115453567586947E-3</v>
      </c>
      <c r="H6" s="74">
        <f>H5/H9</f>
        <v>2.6029831012684378E-3</v>
      </c>
      <c r="I6" s="74">
        <f>I5/I9</f>
        <v>2.1598538704581359E-3</v>
      </c>
      <c r="J6" s="16">
        <f>J5/J9</f>
        <v>1.9548837898528421E-3</v>
      </c>
      <c r="K6" s="16">
        <f>K5/K9</f>
        <v>1.8245183535969454E-3</v>
      </c>
    </row>
    <row r="7" spans="1:11">
      <c r="A7" s="59" t="s">
        <v>13</v>
      </c>
      <c r="B7" s="2">
        <v>36047</v>
      </c>
      <c r="C7" s="2">
        <v>37696</v>
      </c>
      <c r="D7" s="2">
        <v>38555</v>
      </c>
      <c r="E7" s="2">
        <v>41096</v>
      </c>
      <c r="F7" s="2">
        <v>42041</v>
      </c>
      <c r="G7" s="73">
        <v>48225</v>
      </c>
      <c r="H7" s="73">
        <v>56402</v>
      </c>
      <c r="I7" s="73">
        <v>70481</v>
      </c>
      <c r="J7" s="6">
        <v>82600</v>
      </c>
      <c r="K7" s="6">
        <v>91901</v>
      </c>
    </row>
    <row r="8" spans="1:11">
      <c r="A8" s="59" t="s">
        <v>31</v>
      </c>
      <c r="B8" s="4">
        <v>0.3085</v>
      </c>
      <c r="C8" s="4">
        <v>0.31709999999999999</v>
      </c>
      <c r="D8" s="4">
        <v>0.3201</v>
      </c>
      <c r="E8" s="4">
        <v>0.3342</v>
      </c>
      <c r="F8" s="16">
        <v>0.33169999999999999</v>
      </c>
      <c r="G8" s="74">
        <f>G7/G9</f>
        <v>0.36023216206525638</v>
      </c>
      <c r="H8" s="74">
        <f>H7/H9</f>
        <v>0.38839537798344559</v>
      </c>
      <c r="I8" s="74">
        <f>I7/I9</f>
        <v>0.4349390304107425</v>
      </c>
      <c r="J8" s="16">
        <f>J7/J9</f>
        <v>0.47076793306660281</v>
      </c>
      <c r="K8" s="16">
        <f>K7/K9</f>
        <v>0.48601467018525474</v>
      </c>
    </row>
    <row r="9" spans="1:11">
      <c r="A9" s="5" t="s">
        <v>32</v>
      </c>
      <c r="B9" s="13">
        <v>116860</v>
      </c>
      <c r="C9" s="13">
        <v>118884</v>
      </c>
      <c r="D9" s="13">
        <v>120433</v>
      </c>
      <c r="E9" s="13">
        <v>122950</v>
      </c>
      <c r="F9" s="17">
        <v>126742</v>
      </c>
      <c r="G9" s="76">
        <f>SUM(G3,G5,G7)</f>
        <v>133872</v>
      </c>
      <c r="H9" s="76">
        <f>SUM(H3,H5,H7)</f>
        <v>145218</v>
      </c>
      <c r="I9" s="76">
        <f>SUM(I3,I5,I7)</f>
        <v>162048</v>
      </c>
      <c r="J9" s="17">
        <f>SUM(J3,J5,J7)</f>
        <v>175458</v>
      </c>
      <c r="K9" s="17">
        <f>SUM(K3,K5,K7)</f>
        <v>189091</v>
      </c>
    </row>
    <row r="10" spans="1:11">
      <c r="A10" s="3" t="s">
        <v>33</v>
      </c>
      <c r="B10" s="2">
        <v>32429591</v>
      </c>
      <c r="C10" s="2">
        <v>32594648</v>
      </c>
      <c r="D10" s="2">
        <v>32759699</v>
      </c>
      <c r="E10" s="2">
        <v>32759700</v>
      </c>
      <c r="F10" s="6">
        <v>33089811</v>
      </c>
      <c r="G10" s="73">
        <v>33254867.455426469</v>
      </c>
      <c r="H10" s="73">
        <v>33419924</v>
      </c>
      <c r="I10" s="73">
        <v>33419925</v>
      </c>
      <c r="J10" s="6">
        <v>33750035.654360972</v>
      </c>
      <c r="K10" s="6">
        <v>33915092</v>
      </c>
    </row>
    <row r="11" spans="1:11" ht="24.95">
      <c r="A11" s="15" t="s">
        <v>34</v>
      </c>
      <c r="B11" s="14">
        <v>3.5999999999999999E-3</v>
      </c>
      <c r="C11" s="14">
        <v>3.5999999999999999E-3</v>
      </c>
      <c r="D11" s="14">
        <v>3.7000000000000002E-3</v>
      </c>
      <c r="E11" s="14">
        <v>3.8E-3</v>
      </c>
      <c r="F11" s="16">
        <v>3.8E-3</v>
      </c>
      <c r="G11" s="74">
        <f>G9/G10</f>
        <v>4.0256362524805373E-3</v>
      </c>
      <c r="H11" s="74">
        <f>H9/H10</f>
        <v>4.3452522513216969E-3</v>
      </c>
      <c r="I11" s="74">
        <f>I9/I10</f>
        <v>4.8488439157179436E-3</v>
      </c>
      <c r="J11" s="16">
        <f>J9/J10</f>
        <v>5.1987500634633668E-3</v>
      </c>
      <c r="K11" s="16">
        <f>K9/K10</f>
        <v>5.5754234722406176E-3</v>
      </c>
    </row>
    <row r="13" spans="1:11">
      <c r="A13" s="43" t="s">
        <v>35</v>
      </c>
      <c r="B13" s="18"/>
      <c r="C13" s="16">
        <f t="shared" ref="C13:K13" si="0">C9/B9-1</f>
        <v>1.7319869929830478E-2</v>
      </c>
      <c r="D13" s="16">
        <f t="shared" si="0"/>
        <v>1.3029507755459191E-2</v>
      </c>
      <c r="E13" s="16">
        <f t="shared" si="0"/>
        <v>2.0899587322411595E-2</v>
      </c>
      <c r="F13" s="16">
        <f t="shared" si="0"/>
        <v>3.0841805612037421E-2</v>
      </c>
      <c r="G13" s="74">
        <f t="shared" si="0"/>
        <v>5.6256016158810818E-2</v>
      </c>
      <c r="H13" s="74">
        <f t="shared" si="0"/>
        <v>8.4752599498028047E-2</v>
      </c>
      <c r="I13" s="74">
        <f t="shared" si="0"/>
        <v>0.11589472379457089</v>
      </c>
      <c r="J13" s="16">
        <f t="shared" si="0"/>
        <v>8.2753258293838838E-2</v>
      </c>
      <c r="K13" s="16">
        <f t="shared" si="0"/>
        <v>7.7699506434588228E-2</v>
      </c>
    </row>
    <row r="14" spans="1:11">
      <c r="A14" s="44" t="s">
        <v>36</v>
      </c>
      <c r="B14" s="18"/>
      <c r="C14" s="18"/>
      <c r="D14" s="18"/>
      <c r="E14" s="18"/>
      <c r="F14" s="16">
        <f t="shared" ref="F14:K14" si="1">F9/B9-1</f>
        <v>8.4562724627759822E-2</v>
      </c>
      <c r="G14" s="74">
        <f t="shared" si="1"/>
        <v>0.12607247400827704</v>
      </c>
      <c r="H14" s="74">
        <f t="shared" si="1"/>
        <v>0.20579907500435923</v>
      </c>
      <c r="I14" s="74">
        <f t="shared" si="1"/>
        <v>0.31799918666124438</v>
      </c>
      <c r="J14" s="16">
        <f t="shared" si="1"/>
        <v>0.3843714001672689</v>
      </c>
      <c r="K14" s="16">
        <f t="shared" si="1"/>
        <v>0.41247609656985773</v>
      </c>
    </row>
  </sheetData>
  <phoneticPr fontId="1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4987-9614-9641-9CDE-96D8849ECA3B}">
  <dimension ref="A2:K27"/>
  <sheetViews>
    <sheetView workbookViewId="0">
      <pane xSplit="1" ySplit="2" topLeftCell="F16" activePane="bottomRight" state="frozen"/>
      <selection pane="bottomRight" activeCell="G2" sqref="G2:K6"/>
      <selection pane="bottomLeft" activeCell="A3" sqref="A3"/>
      <selection pane="topRight" activeCell="B1" sqref="B1"/>
    </sheetView>
  </sheetViews>
  <sheetFormatPr defaultColWidth="11" defaultRowHeight="15.6"/>
  <cols>
    <col min="1" max="1" width="30.875" customWidth="1"/>
  </cols>
  <sheetData>
    <row r="2" spans="1:11" ht="20.100000000000001" customHeight="1">
      <c r="A2" s="21" t="s">
        <v>37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90" t="s">
        <v>6</v>
      </c>
      <c r="H2" s="87" t="s">
        <v>7</v>
      </c>
      <c r="I2" s="12" t="s">
        <v>8</v>
      </c>
      <c r="J2" s="12" t="s">
        <v>9</v>
      </c>
      <c r="K2" s="90" t="s">
        <v>10</v>
      </c>
    </row>
    <row r="3" spans="1:11">
      <c r="A3" s="29" t="s">
        <v>11</v>
      </c>
      <c r="B3" s="10">
        <v>80465</v>
      </c>
      <c r="C3" s="10">
        <v>80788</v>
      </c>
      <c r="D3" s="10">
        <v>81473</v>
      </c>
      <c r="E3" s="10">
        <v>81468</v>
      </c>
      <c r="F3" s="10">
        <v>84307</v>
      </c>
      <c r="G3" s="81">
        <v>85284</v>
      </c>
      <c r="H3" s="81">
        <v>88438</v>
      </c>
      <c r="I3" s="10">
        <v>91217</v>
      </c>
      <c r="J3" s="10">
        <v>92515</v>
      </c>
      <c r="K3" s="81">
        <v>96845</v>
      </c>
    </row>
    <row r="4" spans="1:11">
      <c r="A4" s="33" t="s">
        <v>12</v>
      </c>
      <c r="B4" s="7">
        <v>348</v>
      </c>
      <c r="C4" s="7">
        <v>400</v>
      </c>
      <c r="D4" s="7">
        <v>405</v>
      </c>
      <c r="E4" s="7">
        <v>368</v>
      </c>
      <c r="F4" s="7">
        <v>394</v>
      </c>
      <c r="G4" s="82">
        <v>363</v>
      </c>
      <c r="H4" s="82">
        <v>378</v>
      </c>
      <c r="I4" s="7">
        <v>350</v>
      </c>
      <c r="J4" s="7">
        <v>343</v>
      </c>
      <c r="K4" s="82">
        <v>345</v>
      </c>
    </row>
    <row r="5" spans="1:11">
      <c r="A5" s="28" t="s">
        <v>13</v>
      </c>
      <c r="B5" s="10">
        <v>36047</v>
      </c>
      <c r="C5" s="10">
        <v>37696</v>
      </c>
      <c r="D5" s="7">
        <v>38555</v>
      </c>
      <c r="E5" s="10">
        <v>41096</v>
      </c>
      <c r="F5" s="10">
        <v>42041</v>
      </c>
      <c r="G5" s="81">
        <v>48225</v>
      </c>
      <c r="H5" s="81">
        <v>56402</v>
      </c>
      <c r="I5" s="10">
        <v>70481</v>
      </c>
      <c r="J5" s="10">
        <v>82600</v>
      </c>
      <c r="K5" s="81">
        <v>91901</v>
      </c>
    </row>
    <row r="6" spans="1:11">
      <c r="A6" s="21" t="s">
        <v>38</v>
      </c>
      <c r="B6" s="22">
        <v>116860</v>
      </c>
      <c r="C6" s="22">
        <v>118884</v>
      </c>
      <c r="D6" s="22">
        <v>120433</v>
      </c>
      <c r="E6" s="22">
        <v>122950</v>
      </c>
      <c r="F6" s="22">
        <v>126742</v>
      </c>
      <c r="G6" s="91">
        <f>SUM(G3:G5)</f>
        <v>133872</v>
      </c>
      <c r="H6" s="95">
        <f>SUM(H3:H5)</f>
        <v>145218</v>
      </c>
      <c r="I6" s="22">
        <f>SUM(I3:I5)</f>
        <v>162048</v>
      </c>
      <c r="J6" s="22">
        <f>SUM(J3:J5)</f>
        <v>175458</v>
      </c>
      <c r="K6" s="91">
        <f>SUM(K3:K5)</f>
        <v>189091</v>
      </c>
    </row>
    <row r="7" spans="1:11">
      <c r="A7" s="45"/>
      <c r="B7" s="46"/>
      <c r="C7" s="46"/>
      <c r="D7" s="46"/>
      <c r="E7" s="46"/>
      <c r="F7" s="46"/>
      <c r="G7" s="46"/>
      <c r="H7" s="71"/>
      <c r="K7" s="46"/>
    </row>
    <row r="8" spans="1:11">
      <c r="A8" s="63" t="s">
        <v>39</v>
      </c>
      <c r="B8" s="12" t="s">
        <v>1</v>
      </c>
      <c r="C8" s="12" t="s">
        <v>2</v>
      </c>
      <c r="D8" s="12" t="s">
        <v>3</v>
      </c>
      <c r="E8" s="12" t="s">
        <v>4</v>
      </c>
      <c r="F8" s="12" t="s">
        <v>5</v>
      </c>
      <c r="G8" s="90" t="s">
        <v>6</v>
      </c>
      <c r="H8" s="87" t="s">
        <v>7</v>
      </c>
      <c r="I8" s="12" t="s">
        <v>8</v>
      </c>
      <c r="J8" s="12" t="s">
        <v>9</v>
      </c>
      <c r="K8" s="90" t="s">
        <v>10</v>
      </c>
    </row>
    <row r="9" spans="1:11">
      <c r="A9" s="40" t="s">
        <v>17</v>
      </c>
      <c r="B9" s="22"/>
      <c r="C9" s="27">
        <f t="shared" ref="C9:G9" si="0">C3/B3-1</f>
        <v>4.0141676505311974E-3</v>
      </c>
      <c r="D9" s="27">
        <f t="shared" si="0"/>
        <v>8.4789820270336769E-3</v>
      </c>
      <c r="E9" s="27">
        <f t="shared" si="0"/>
        <v>-6.1370024425300151E-5</v>
      </c>
      <c r="F9" s="27">
        <f t="shared" si="0"/>
        <v>3.4848038493641598E-2</v>
      </c>
      <c r="G9" s="78">
        <f t="shared" si="0"/>
        <v>1.158859881148655E-2</v>
      </c>
      <c r="H9" s="72">
        <f>H3/G3-1</f>
        <v>3.6982317902537476E-2</v>
      </c>
      <c r="I9" s="72">
        <f>I3/H3-1</f>
        <v>3.1423143897419736E-2</v>
      </c>
      <c r="J9" s="72">
        <f>J3/I3-1</f>
        <v>1.4229803655020357E-2</v>
      </c>
      <c r="K9" s="78">
        <f t="shared" ref="K9" si="1">K3/J3-1</f>
        <v>4.6803221099281256E-2</v>
      </c>
    </row>
    <row r="10" spans="1:11">
      <c r="A10" s="48" t="s">
        <v>18</v>
      </c>
      <c r="B10" s="22"/>
      <c r="C10" s="22"/>
      <c r="D10" s="22"/>
      <c r="E10" s="22"/>
      <c r="F10" s="27">
        <f t="shared" ref="F10:G10" si="2">F3/B3-1</f>
        <v>4.7747467843161528E-2</v>
      </c>
      <c r="G10" s="78">
        <f t="shared" si="2"/>
        <v>5.565182947962577E-2</v>
      </c>
      <c r="H10" s="72">
        <f>H3/D3-1</f>
        <v>8.5488444024400811E-2</v>
      </c>
      <c r="I10" s="72">
        <f>I3/E3-1</f>
        <v>0.11966661756763397</v>
      </c>
      <c r="J10" s="72">
        <f>J3/F3-1</f>
        <v>9.7358463710012222E-2</v>
      </c>
      <c r="K10" s="78">
        <f t="shared" ref="K10" si="3">K3/G3-1</f>
        <v>0.13555883870362551</v>
      </c>
    </row>
    <row r="11" spans="1:11">
      <c r="A11" s="45"/>
      <c r="B11" s="46"/>
      <c r="C11" s="46"/>
      <c r="D11" s="46"/>
      <c r="E11" s="46"/>
      <c r="F11" s="46"/>
      <c r="G11" s="46"/>
      <c r="H11" s="71"/>
      <c r="K11" s="46"/>
    </row>
    <row r="12" spans="1:11">
      <c r="A12" s="62" t="s">
        <v>40</v>
      </c>
      <c r="B12" s="12" t="s">
        <v>1</v>
      </c>
      <c r="C12" s="12" t="s">
        <v>2</v>
      </c>
      <c r="D12" s="12" t="s">
        <v>3</v>
      </c>
      <c r="E12" s="12" t="s">
        <v>4</v>
      </c>
      <c r="F12" s="12" t="s">
        <v>5</v>
      </c>
      <c r="G12" s="90" t="s">
        <v>6</v>
      </c>
      <c r="H12" s="87" t="s">
        <v>7</v>
      </c>
      <c r="I12" s="12" t="s">
        <v>8</v>
      </c>
      <c r="J12" s="12" t="s">
        <v>9</v>
      </c>
      <c r="K12" s="90" t="s">
        <v>10</v>
      </c>
    </row>
    <row r="13" spans="1:11">
      <c r="A13" s="40" t="s">
        <v>17</v>
      </c>
      <c r="B13" s="22"/>
      <c r="C13" s="27">
        <f t="shared" ref="C13:E13" si="4">C4/B4-1</f>
        <v>0.14942528735632177</v>
      </c>
      <c r="D13" s="27">
        <f t="shared" si="4"/>
        <v>1.2499999999999956E-2</v>
      </c>
      <c r="E13" s="27">
        <f t="shared" si="4"/>
        <v>-9.1358024691358009E-2</v>
      </c>
      <c r="F13" s="27">
        <f t="shared" ref="F13:G13" si="5">F4/E4-1</f>
        <v>7.0652173913043459E-2</v>
      </c>
      <c r="G13" s="78">
        <f t="shared" si="5"/>
        <v>-7.8680203045685237E-2</v>
      </c>
      <c r="H13" s="72">
        <f>H4/G4-1</f>
        <v>4.1322314049586861E-2</v>
      </c>
      <c r="I13" s="72">
        <f>I4/H4-1</f>
        <v>-7.407407407407407E-2</v>
      </c>
      <c r="J13" s="72">
        <f>J4/I4-1</f>
        <v>-2.0000000000000018E-2</v>
      </c>
      <c r="K13" s="78">
        <f t="shared" ref="K13" si="6">K4/J4-1</f>
        <v>5.8309037900874383E-3</v>
      </c>
    </row>
    <row r="14" spans="1:11">
      <c r="A14" s="48" t="s">
        <v>18</v>
      </c>
      <c r="B14" s="22"/>
      <c r="C14" s="22"/>
      <c r="D14" s="22"/>
      <c r="E14" s="22"/>
      <c r="F14" s="27">
        <f t="shared" ref="F14:G14" si="7">F4/B4-1</f>
        <v>0.13218390804597702</v>
      </c>
      <c r="G14" s="78">
        <f t="shared" si="7"/>
        <v>-9.2500000000000027E-2</v>
      </c>
      <c r="H14" s="72">
        <f>H4/D4-1</f>
        <v>-6.6666666666666652E-2</v>
      </c>
      <c r="I14" s="72">
        <f>I4/E4-1</f>
        <v>-4.8913043478260865E-2</v>
      </c>
      <c r="J14" s="72">
        <f>J4/F4-1</f>
        <v>-0.12944162436548223</v>
      </c>
      <c r="K14" s="78">
        <f t="shared" ref="K14" si="8">K4/G4-1</f>
        <v>-4.9586776859504078E-2</v>
      </c>
    </row>
    <row r="15" spans="1:11">
      <c r="A15" s="45"/>
      <c r="B15" s="46"/>
      <c r="C15" s="46"/>
      <c r="D15" s="46"/>
      <c r="E15" s="46"/>
      <c r="F15" s="46"/>
      <c r="G15" s="46"/>
      <c r="H15" s="71"/>
      <c r="K15" s="46"/>
    </row>
    <row r="16" spans="1:11">
      <c r="A16" s="61" t="s">
        <v>41</v>
      </c>
      <c r="B16" s="12" t="s">
        <v>1</v>
      </c>
      <c r="C16" s="12" t="s">
        <v>2</v>
      </c>
      <c r="D16" s="12" t="s">
        <v>3</v>
      </c>
      <c r="E16" s="12" t="s">
        <v>4</v>
      </c>
      <c r="F16" s="12" t="s">
        <v>5</v>
      </c>
      <c r="G16" s="90" t="s">
        <v>6</v>
      </c>
      <c r="H16" s="87" t="s">
        <v>7</v>
      </c>
      <c r="I16" s="12" t="s">
        <v>8</v>
      </c>
      <c r="J16" s="12" t="s">
        <v>9</v>
      </c>
      <c r="K16" s="90" t="s">
        <v>10</v>
      </c>
    </row>
    <row r="17" spans="1:11">
      <c r="A17" s="40" t="s">
        <v>17</v>
      </c>
      <c r="B17" s="22"/>
      <c r="C17" s="27">
        <f t="shared" ref="C17:G17" si="9">C5/B5-1</f>
        <v>4.5745831830665606E-2</v>
      </c>
      <c r="D17" s="27">
        <f t="shared" si="9"/>
        <v>2.2787563667232558E-2</v>
      </c>
      <c r="E17" s="27">
        <f t="shared" si="9"/>
        <v>6.590584878744643E-2</v>
      </c>
      <c r="F17" s="27">
        <f t="shared" si="9"/>
        <v>2.2994938680163557E-2</v>
      </c>
      <c r="G17" s="78">
        <f t="shared" si="9"/>
        <v>0.14709450298518112</v>
      </c>
      <c r="H17" s="72">
        <f>H5/G5-1</f>
        <v>0.16955935717988591</v>
      </c>
      <c r="I17" s="72">
        <f>I5/H5-1</f>
        <v>0.24961880784369339</v>
      </c>
      <c r="J17" s="72">
        <f>J5/I5-1</f>
        <v>0.17194704955945572</v>
      </c>
      <c r="K17" s="78">
        <f t="shared" ref="K17" si="10">K5/J5-1</f>
        <v>0.11260290556900721</v>
      </c>
    </row>
    <row r="18" spans="1:11">
      <c r="A18" s="48" t="s">
        <v>18</v>
      </c>
      <c r="B18" s="22"/>
      <c r="C18" s="22"/>
      <c r="D18" s="22"/>
      <c r="E18" s="22"/>
      <c r="F18" s="27">
        <f t="shared" ref="F18:G18" si="11">F5/B5-1</f>
        <v>0.16628290842511162</v>
      </c>
      <c r="G18" s="78">
        <f t="shared" si="11"/>
        <v>0.27931345500848903</v>
      </c>
      <c r="H18" s="72">
        <f>H5/D5-1</f>
        <v>0.46289715990143954</v>
      </c>
      <c r="I18" s="72">
        <f>I5/E5-1</f>
        <v>0.71503309324508457</v>
      </c>
      <c r="J18" s="72">
        <f>J5/F5-1</f>
        <v>0.96474869769986449</v>
      </c>
      <c r="K18" s="78">
        <f t="shared" ref="K18" si="12">K5/G5-1</f>
        <v>0.90567133229652663</v>
      </c>
    </row>
    <row r="19" spans="1:11">
      <c r="A19" s="45"/>
      <c r="B19" s="46"/>
      <c r="C19" s="46"/>
      <c r="D19" s="46"/>
      <c r="E19" s="46"/>
      <c r="F19" s="46"/>
      <c r="G19" s="46"/>
      <c r="H19" s="71"/>
      <c r="K19" s="46"/>
    </row>
    <row r="20" spans="1:11">
      <c r="A20" s="52" t="s">
        <v>42</v>
      </c>
      <c r="B20" s="12" t="s">
        <v>1</v>
      </c>
      <c r="C20" s="12" t="s">
        <v>2</v>
      </c>
      <c r="D20" s="12" t="s">
        <v>3</v>
      </c>
      <c r="E20" s="12" t="s">
        <v>4</v>
      </c>
      <c r="F20" s="12" t="s">
        <v>5</v>
      </c>
      <c r="G20" s="90" t="s">
        <v>6</v>
      </c>
      <c r="H20" s="87" t="s">
        <v>7</v>
      </c>
      <c r="I20" s="12" t="s">
        <v>8</v>
      </c>
      <c r="J20" s="12" t="s">
        <v>9</v>
      </c>
      <c r="K20" s="90" t="s">
        <v>10</v>
      </c>
    </row>
    <row r="21" spans="1:11">
      <c r="A21" s="40" t="s">
        <v>17</v>
      </c>
      <c r="B21" s="47" t="e">
        <v>#VALUE!</v>
      </c>
      <c r="C21" s="47">
        <f t="shared" ref="C21:K21" si="13">C6/B6-1</f>
        <v>1.7319869929830478E-2</v>
      </c>
      <c r="D21" s="47">
        <f t="shared" si="13"/>
        <v>1.3029507755459191E-2</v>
      </c>
      <c r="E21" s="47">
        <f t="shared" si="13"/>
        <v>2.0899587322411595E-2</v>
      </c>
      <c r="F21" s="47">
        <f t="shared" si="13"/>
        <v>3.0841805612037421E-2</v>
      </c>
      <c r="G21" s="92">
        <f t="shared" si="13"/>
        <v>5.6256016158810818E-2</v>
      </c>
      <c r="H21" s="88">
        <f t="shared" si="13"/>
        <v>8.4752599498028047E-2</v>
      </c>
      <c r="I21" s="88">
        <f t="shared" si="13"/>
        <v>0.11589472379457089</v>
      </c>
      <c r="J21" s="88">
        <f t="shared" si="13"/>
        <v>8.2753258293838838E-2</v>
      </c>
      <c r="K21" s="92">
        <f t="shared" si="13"/>
        <v>7.7699506434588228E-2</v>
      </c>
    </row>
    <row r="22" spans="1:11">
      <c r="A22" s="48" t="s">
        <v>18</v>
      </c>
      <c r="B22" s="49"/>
      <c r="C22" s="50"/>
      <c r="D22" s="50"/>
      <c r="E22" s="50"/>
      <c r="F22" s="51">
        <f t="shared" ref="F22:K22" si="14">F6/B6-1</f>
        <v>8.4562724627759822E-2</v>
      </c>
      <c r="G22" s="93">
        <f t="shared" si="14"/>
        <v>0.12607247400827704</v>
      </c>
      <c r="H22" s="89">
        <f t="shared" si="14"/>
        <v>0.20579907500435923</v>
      </c>
      <c r="I22" s="89">
        <f t="shared" si="14"/>
        <v>0.31799918666124438</v>
      </c>
      <c r="J22" s="89">
        <f t="shared" si="14"/>
        <v>0.3843714001672689</v>
      </c>
      <c r="K22" s="93">
        <f t="shared" si="14"/>
        <v>0.41247609656985773</v>
      </c>
    </row>
    <row r="23" spans="1:11">
      <c r="H23" s="71"/>
    </row>
    <row r="24" spans="1:11">
      <c r="A24" s="53" t="s">
        <v>43</v>
      </c>
      <c r="B24" s="12" t="s">
        <v>1</v>
      </c>
      <c r="C24" s="12" t="s">
        <v>2</v>
      </c>
      <c r="D24" s="12" t="s">
        <v>3</v>
      </c>
      <c r="E24" s="12" t="s">
        <v>4</v>
      </c>
      <c r="F24" s="12" t="s">
        <v>5</v>
      </c>
      <c r="G24" s="90" t="s">
        <v>6</v>
      </c>
      <c r="H24" s="87" t="s">
        <v>7</v>
      </c>
      <c r="I24" s="12" t="s">
        <v>8</v>
      </c>
      <c r="J24" s="12" t="s">
        <v>9</v>
      </c>
      <c r="K24" s="90" t="s">
        <v>10</v>
      </c>
    </row>
    <row r="25" spans="1:11">
      <c r="A25" s="29" t="s">
        <v>44</v>
      </c>
      <c r="B25" s="27">
        <f t="shared" ref="B25:G25" si="15">B3/B6</f>
        <v>0.68855895943864454</v>
      </c>
      <c r="C25" s="27">
        <f t="shared" si="15"/>
        <v>0.67955317788768888</v>
      </c>
      <c r="D25" s="27">
        <f t="shared" si="15"/>
        <v>0.6765006269045859</v>
      </c>
      <c r="E25" s="27">
        <f t="shared" si="15"/>
        <v>0.66261081740544936</v>
      </c>
      <c r="F25" s="27">
        <f t="shared" si="15"/>
        <v>0.6651859683451421</v>
      </c>
      <c r="G25" s="78">
        <f t="shared" si="15"/>
        <v>0.63705629257798491</v>
      </c>
      <c r="H25" s="72">
        <f t="shared" ref="H25:I25" si="16">H3/H6</f>
        <v>0.60900163891528603</v>
      </c>
      <c r="I25" s="72">
        <f t="shared" si="16"/>
        <v>0.56290111571879942</v>
      </c>
      <c r="J25" s="72">
        <f t="shared" ref="J25:K25" si="17">J3/J6</f>
        <v>0.52727718314354433</v>
      </c>
      <c r="K25" s="78">
        <f t="shared" si="17"/>
        <v>0.51216081146114834</v>
      </c>
    </row>
    <row r="26" spans="1:11">
      <c r="A26" s="33" t="s">
        <v>12</v>
      </c>
      <c r="B26" s="27">
        <f t="shared" ref="B26:G26" si="18">B4/B6</f>
        <v>2.9779223001882593E-3</v>
      </c>
      <c r="C26" s="27">
        <f t="shared" si="18"/>
        <v>3.3646243396924735E-3</v>
      </c>
      <c r="D26" s="27">
        <f t="shared" si="18"/>
        <v>3.3628656597444223E-3</v>
      </c>
      <c r="E26" s="27">
        <f t="shared" si="18"/>
        <v>2.9930866205774703E-3</v>
      </c>
      <c r="F26" s="27">
        <f t="shared" si="18"/>
        <v>3.1086774707673858E-3</v>
      </c>
      <c r="G26" s="78">
        <f t="shared" si="18"/>
        <v>2.7115453567586947E-3</v>
      </c>
      <c r="H26" s="72">
        <f t="shared" ref="H26:I26" si="19">H4/H6</f>
        <v>2.6029831012684378E-3</v>
      </c>
      <c r="I26" s="72">
        <f t="shared" si="19"/>
        <v>2.1598538704581359E-3</v>
      </c>
      <c r="J26" s="72">
        <f t="shared" ref="J26:K26" si="20">J4/J6</f>
        <v>1.9548837898528421E-3</v>
      </c>
      <c r="K26" s="78">
        <f t="shared" si="20"/>
        <v>1.8245183535969454E-3</v>
      </c>
    </row>
    <row r="27" spans="1:11">
      <c r="A27" s="28" t="s">
        <v>13</v>
      </c>
      <c r="B27" s="27">
        <f t="shared" ref="B27:G27" si="21">B5/B6</f>
        <v>0.30846311826116724</v>
      </c>
      <c r="C27" s="27">
        <f t="shared" si="21"/>
        <v>0.3170821977726187</v>
      </c>
      <c r="D27" s="27">
        <f t="shared" si="21"/>
        <v>0.32013650743566963</v>
      </c>
      <c r="E27" s="27">
        <f t="shared" si="21"/>
        <v>0.33424969499796664</v>
      </c>
      <c r="F27" s="27">
        <f t="shared" si="21"/>
        <v>0.33170535418409053</v>
      </c>
      <c r="G27" s="78">
        <f t="shared" si="21"/>
        <v>0.36023216206525638</v>
      </c>
      <c r="H27" s="72">
        <f t="shared" ref="H27:I27" si="22">H5/H6</f>
        <v>0.38839537798344559</v>
      </c>
      <c r="I27" s="72">
        <f t="shared" si="22"/>
        <v>0.4349390304107425</v>
      </c>
      <c r="J27" s="72">
        <f t="shared" ref="J27:K27" si="23">J5/J6</f>
        <v>0.47076793306660281</v>
      </c>
      <c r="K27" s="78">
        <f t="shared" si="23"/>
        <v>0.48601467018525474</v>
      </c>
    </row>
  </sheetData>
  <phoneticPr fontId="1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5AA02-0D36-734D-BF74-514FD29B6242}">
  <dimension ref="B2:L6"/>
  <sheetViews>
    <sheetView workbookViewId="0">
      <pane xSplit="2" ySplit="2" topLeftCell="D3" activePane="bottomRight" state="frozen"/>
      <selection pane="bottomRight" activeCell="H2" sqref="H2:L3"/>
      <selection pane="bottomLeft" activeCell="A3" sqref="A3"/>
      <selection pane="topRight" activeCell="C1" sqref="C1"/>
    </sheetView>
  </sheetViews>
  <sheetFormatPr defaultColWidth="11" defaultRowHeight="15.6"/>
  <cols>
    <col min="2" max="2" width="22.125" customWidth="1"/>
    <col min="3" max="7" width="8.375" customWidth="1"/>
    <col min="8" max="8" width="9.375" customWidth="1"/>
  </cols>
  <sheetData>
    <row r="2" spans="2:12">
      <c r="B2" s="21"/>
      <c r="C2" s="11" t="s">
        <v>1</v>
      </c>
      <c r="D2" s="11" t="s">
        <v>2</v>
      </c>
      <c r="E2" s="11" t="s">
        <v>3</v>
      </c>
      <c r="F2" s="11" t="s">
        <v>4</v>
      </c>
      <c r="G2" s="12" t="s">
        <v>5</v>
      </c>
      <c r="H2" s="11" t="s">
        <v>6</v>
      </c>
      <c r="I2" s="11" t="s">
        <v>7</v>
      </c>
      <c r="J2" s="11" t="s">
        <v>8</v>
      </c>
      <c r="K2" s="12" t="s">
        <v>9</v>
      </c>
      <c r="L2" s="11" t="s">
        <v>10</v>
      </c>
    </row>
    <row r="3" spans="2:12" ht="20.100000000000001" customHeight="1">
      <c r="B3" s="8" t="s">
        <v>45</v>
      </c>
      <c r="C3" s="9">
        <v>223278</v>
      </c>
      <c r="D3" s="9">
        <v>227400</v>
      </c>
      <c r="E3" s="9">
        <v>231981</v>
      </c>
      <c r="F3" s="9">
        <v>216142</v>
      </c>
      <c r="G3" s="10">
        <v>221153</v>
      </c>
      <c r="H3" s="10">
        <v>227350</v>
      </c>
      <c r="I3" s="10">
        <v>236479</v>
      </c>
      <c r="J3" s="10">
        <v>250569</v>
      </c>
      <c r="K3" s="10">
        <v>261938</v>
      </c>
      <c r="L3" s="10">
        <v>273095</v>
      </c>
    </row>
    <row r="4" spans="2:12" ht="20.100000000000001" customHeight="1">
      <c r="B4" s="64"/>
      <c r="C4" s="65"/>
      <c r="D4" s="65"/>
      <c r="E4" s="65"/>
      <c r="F4" s="65"/>
      <c r="G4" s="66"/>
      <c r="H4" s="83"/>
      <c r="I4" s="71"/>
      <c r="L4" s="83"/>
    </row>
    <row r="5" spans="2:12">
      <c r="B5" s="38" t="s">
        <v>17</v>
      </c>
      <c r="C5" s="35" t="e">
        <f t="shared" ref="C5:I5" si="0">C3/B3-1</f>
        <v>#VALUE!</v>
      </c>
      <c r="D5" s="35">
        <f t="shared" si="0"/>
        <v>1.8461290409265585E-2</v>
      </c>
      <c r="E5" s="35">
        <f t="shared" si="0"/>
        <v>2.0145118733509326E-2</v>
      </c>
      <c r="F5" s="35">
        <f t="shared" si="0"/>
        <v>-6.8277143386742845E-2</v>
      </c>
      <c r="G5" s="35">
        <f t="shared" si="0"/>
        <v>2.3183832850625974E-2</v>
      </c>
      <c r="H5" s="35">
        <f t="shared" si="0"/>
        <v>2.8021324603328956E-2</v>
      </c>
      <c r="I5" s="84">
        <f t="shared" si="0"/>
        <v>4.0153947657796341E-2</v>
      </c>
      <c r="J5" s="35">
        <f t="shared" ref="J5" si="1">J3/I3-1</f>
        <v>5.9582457638944764E-2</v>
      </c>
      <c r="K5" s="35">
        <f t="shared" ref="K5:L5" si="2">K3/J3-1</f>
        <v>4.5372731662735699E-2</v>
      </c>
      <c r="L5" s="35">
        <f t="shared" si="2"/>
        <v>4.2594048973421117E-2</v>
      </c>
    </row>
    <row r="6" spans="2:12">
      <c r="B6" s="39" t="s">
        <v>18</v>
      </c>
      <c r="C6" s="34"/>
      <c r="D6" s="36"/>
      <c r="E6" s="36"/>
      <c r="F6" s="36"/>
      <c r="G6" s="37">
        <f>G3/C3-1</f>
        <v>-9.5172833866301598E-3</v>
      </c>
      <c r="H6" s="37">
        <f>H3/D3-1</f>
        <v>-2.1987686895341696E-4</v>
      </c>
      <c r="I6" s="37">
        <f>I3/E3-1</f>
        <v>1.9389518969225916E-2</v>
      </c>
      <c r="J6" s="37">
        <f t="shared" ref="J6:K6" si="3">J3/F3-1</f>
        <v>0.15927954770474972</v>
      </c>
      <c r="K6" s="37">
        <f t="shared" si="3"/>
        <v>0.18441983604111178</v>
      </c>
      <c r="L6" s="37">
        <f>L3/H3-1</f>
        <v>0.20120958873982842</v>
      </c>
    </row>
  </sheetData>
  <phoneticPr fontId="1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5F88-73CD-7A46-B398-FB492392F957}">
  <dimension ref="A2:K20"/>
  <sheetViews>
    <sheetView zoomScale="102" workbookViewId="0">
      <pane xSplit="1" ySplit="2" topLeftCell="B3" activePane="bottomRight" state="frozen"/>
      <selection pane="bottomRight" activeCell="G2" sqref="G2:K5"/>
      <selection pane="bottomLeft" activeCell="A3" sqref="A3"/>
      <selection pane="topRight" activeCell="B1" sqref="B1"/>
    </sheetView>
  </sheetViews>
  <sheetFormatPr defaultColWidth="11" defaultRowHeight="15.6"/>
  <cols>
    <col min="1" max="1" width="22" bestFit="1" customWidth="1"/>
  </cols>
  <sheetData>
    <row r="2" spans="1:11">
      <c r="A2" s="11" t="s">
        <v>46</v>
      </c>
      <c r="B2" s="11" t="s">
        <v>1</v>
      </c>
      <c r="C2" s="11" t="s">
        <v>2</v>
      </c>
      <c r="D2" s="11" t="s">
        <v>3</v>
      </c>
      <c r="E2" s="11" t="s">
        <v>4</v>
      </c>
      <c r="F2" s="12" t="s">
        <v>5</v>
      </c>
      <c r="G2" s="11" t="s">
        <v>6</v>
      </c>
      <c r="H2" s="11" t="s">
        <v>7</v>
      </c>
      <c r="I2" s="11" t="s">
        <v>8</v>
      </c>
      <c r="J2" s="12" t="s">
        <v>9</v>
      </c>
      <c r="K2" s="11" t="s">
        <v>10</v>
      </c>
    </row>
    <row r="3" spans="1:11">
      <c r="A3" s="28" t="s">
        <v>13</v>
      </c>
      <c r="B3" s="9">
        <v>144967</v>
      </c>
      <c r="C3" s="9">
        <v>148855</v>
      </c>
      <c r="D3" s="9">
        <v>152817</v>
      </c>
      <c r="E3" s="9">
        <v>137012</v>
      </c>
      <c r="F3" s="10">
        <v>139267</v>
      </c>
      <c r="G3" s="10">
        <v>144499</v>
      </c>
      <c r="H3" s="10">
        <v>150471</v>
      </c>
      <c r="I3" s="10">
        <v>161763</v>
      </c>
      <c r="J3" s="10">
        <v>171862</v>
      </c>
      <c r="K3" s="10">
        <v>178718</v>
      </c>
    </row>
    <row r="4" spans="1:11">
      <c r="A4" s="29" t="s">
        <v>11</v>
      </c>
      <c r="B4" s="9">
        <v>78311</v>
      </c>
      <c r="C4" s="9">
        <v>78545</v>
      </c>
      <c r="D4" s="9">
        <v>79164</v>
      </c>
      <c r="E4" s="9">
        <v>79130</v>
      </c>
      <c r="F4" s="10">
        <v>81886</v>
      </c>
      <c r="G4" s="10">
        <v>82851</v>
      </c>
      <c r="H4" s="10">
        <v>86008</v>
      </c>
      <c r="I4" s="10">
        <v>88806</v>
      </c>
      <c r="J4" s="10">
        <v>90076</v>
      </c>
      <c r="K4" s="10">
        <v>94337</v>
      </c>
    </row>
    <row r="5" spans="1:11">
      <c r="A5" s="11" t="s">
        <v>47</v>
      </c>
      <c r="B5" s="23">
        <v>223278</v>
      </c>
      <c r="C5" s="23">
        <v>227400</v>
      </c>
      <c r="D5" s="23">
        <v>231981</v>
      </c>
      <c r="E5" s="23">
        <v>216142</v>
      </c>
      <c r="F5" s="22">
        <v>221153</v>
      </c>
      <c r="G5" s="22">
        <f>SUM(G3:G4)</f>
        <v>227350</v>
      </c>
      <c r="H5" s="22">
        <f>SUM(H3:H4)</f>
        <v>236479</v>
      </c>
      <c r="I5" s="22">
        <f>SUM(I3:I4)</f>
        <v>250569</v>
      </c>
      <c r="J5" s="22">
        <f>SUM(J3:J4)</f>
        <v>261938</v>
      </c>
      <c r="K5" s="22">
        <f>SUM(K3:K4)</f>
        <v>273055</v>
      </c>
    </row>
    <row r="6" spans="1:11">
      <c r="A6" s="38" t="s">
        <v>17</v>
      </c>
      <c r="B6" s="35" t="e">
        <f t="shared" ref="B6:K6" si="0">B5/A5-1</f>
        <v>#VALUE!</v>
      </c>
      <c r="C6" s="35">
        <f t="shared" si="0"/>
        <v>1.8461290409265585E-2</v>
      </c>
      <c r="D6" s="35">
        <f t="shared" si="0"/>
        <v>2.0145118733509326E-2</v>
      </c>
      <c r="E6" s="35">
        <f t="shared" si="0"/>
        <v>-6.8277143386742845E-2</v>
      </c>
      <c r="F6" s="35">
        <f t="shared" si="0"/>
        <v>2.3183832850625974E-2</v>
      </c>
      <c r="G6" s="35">
        <f t="shared" si="0"/>
        <v>2.8021324603328956E-2</v>
      </c>
      <c r="H6" s="35">
        <f t="shared" si="0"/>
        <v>4.0153947657796341E-2</v>
      </c>
      <c r="I6" s="35">
        <f t="shared" si="0"/>
        <v>5.9582457638944764E-2</v>
      </c>
      <c r="J6" s="35">
        <f t="shared" si="0"/>
        <v>4.5372731662735699E-2</v>
      </c>
      <c r="K6" s="35">
        <f t="shared" si="0"/>
        <v>4.2441341080713846E-2</v>
      </c>
    </row>
    <row r="7" spans="1:11">
      <c r="A7" s="39" t="s">
        <v>18</v>
      </c>
      <c r="B7" s="34"/>
      <c r="C7" s="36"/>
      <c r="D7" s="36"/>
      <c r="E7" s="36"/>
      <c r="F7" s="37">
        <f t="shared" ref="F7:K7" si="1">F5/B5-1</f>
        <v>-9.5172833866301598E-3</v>
      </c>
      <c r="G7" s="37">
        <f t="shared" si="1"/>
        <v>-2.1987686895341696E-4</v>
      </c>
      <c r="H7" s="37">
        <f t="shared" si="1"/>
        <v>1.9389518969225916E-2</v>
      </c>
      <c r="I7" s="37">
        <f t="shared" si="1"/>
        <v>0.15927954770474972</v>
      </c>
      <c r="J7" s="37">
        <f t="shared" si="1"/>
        <v>0.18441983604111178</v>
      </c>
      <c r="K7" s="37">
        <f t="shared" si="1"/>
        <v>0.20103364855948969</v>
      </c>
    </row>
    <row r="10" spans="1:11">
      <c r="A10" s="11" t="s">
        <v>43</v>
      </c>
      <c r="B10" s="11" t="s">
        <v>1</v>
      </c>
      <c r="C10" s="11" t="s">
        <v>2</v>
      </c>
      <c r="D10" s="11" t="s">
        <v>3</v>
      </c>
      <c r="E10" s="11" t="s">
        <v>4</v>
      </c>
      <c r="F10" s="12" t="s">
        <v>5</v>
      </c>
      <c r="G10" s="11" t="s">
        <v>6</v>
      </c>
      <c r="H10" s="11" t="s">
        <v>7</v>
      </c>
      <c r="I10" s="11" t="s">
        <v>8</v>
      </c>
      <c r="J10" s="12" t="s">
        <v>9</v>
      </c>
      <c r="K10" s="11" t="s">
        <v>10</v>
      </c>
    </row>
    <row r="11" spans="1:11">
      <c r="A11" s="28" t="s">
        <v>13</v>
      </c>
      <c r="B11" s="27">
        <f t="shared" ref="B11:G11" si="2">B3/B5</f>
        <v>0.64926683327510992</v>
      </c>
      <c r="C11" s="27">
        <f t="shared" si="2"/>
        <v>0.65459542656112579</v>
      </c>
      <c r="D11" s="27">
        <f t="shared" si="2"/>
        <v>0.65874791469991079</v>
      </c>
      <c r="E11" s="27">
        <f t="shared" si="2"/>
        <v>0.63389808551785398</v>
      </c>
      <c r="F11" s="27">
        <f t="shared" si="2"/>
        <v>0.62973145288555887</v>
      </c>
      <c r="G11" s="27">
        <f t="shared" si="2"/>
        <v>0.63557950296899057</v>
      </c>
      <c r="H11" s="27">
        <f t="shared" ref="H11:I11" si="3">H3/H5</f>
        <v>0.63629751478989682</v>
      </c>
      <c r="I11" s="27">
        <f t="shared" si="3"/>
        <v>0.64558265387976965</v>
      </c>
      <c r="J11" s="27">
        <f t="shared" ref="J11:K11" si="4">J3/J5</f>
        <v>0.65611709641212801</v>
      </c>
      <c r="K11" s="27">
        <f t="shared" si="4"/>
        <v>0.65451282708611813</v>
      </c>
    </row>
    <row r="12" spans="1:11">
      <c r="A12" s="29" t="s">
        <v>11</v>
      </c>
      <c r="B12" s="27">
        <f t="shared" ref="B12:G12" si="5">B4/B5</f>
        <v>0.35073316672489002</v>
      </c>
      <c r="C12" s="27">
        <f t="shared" si="5"/>
        <v>0.34540457343887421</v>
      </c>
      <c r="D12" s="27">
        <f t="shared" si="5"/>
        <v>0.34125208530008921</v>
      </c>
      <c r="E12" s="27">
        <f t="shared" si="5"/>
        <v>0.36610191448214602</v>
      </c>
      <c r="F12" s="27">
        <f t="shared" si="5"/>
        <v>0.37026854711444113</v>
      </c>
      <c r="G12" s="27">
        <f t="shared" si="5"/>
        <v>0.36442049703100948</v>
      </c>
      <c r="H12" s="27">
        <f t="shared" ref="H12:I12" si="6">H4/H5</f>
        <v>0.36370248521010323</v>
      </c>
      <c r="I12" s="27">
        <f t="shared" si="6"/>
        <v>0.35441734612023035</v>
      </c>
      <c r="J12" s="27">
        <f t="shared" ref="J12:K12" si="7">J4/J5</f>
        <v>0.34388290358787194</v>
      </c>
      <c r="K12" s="27">
        <f t="shared" si="7"/>
        <v>0.34548717291388181</v>
      </c>
    </row>
    <row r="14" spans="1:11">
      <c r="A14" s="11" t="s">
        <v>27</v>
      </c>
      <c r="B14" s="11" t="s">
        <v>1</v>
      </c>
      <c r="C14" s="11" t="s">
        <v>2</v>
      </c>
      <c r="D14" s="11" t="s">
        <v>3</v>
      </c>
      <c r="E14" s="11" t="s">
        <v>4</v>
      </c>
      <c r="F14" s="12" t="s">
        <v>5</v>
      </c>
      <c r="G14" s="11" t="s">
        <v>6</v>
      </c>
      <c r="H14" s="11" t="s">
        <v>7</v>
      </c>
      <c r="I14" s="11" t="s">
        <v>8</v>
      </c>
      <c r="J14" s="12" t="s">
        <v>9</v>
      </c>
      <c r="K14" s="11" t="s">
        <v>10</v>
      </c>
    </row>
    <row r="15" spans="1:11">
      <c r="A15" s="28" t="s">
        <v>48</v>
      </c>
      <c r="B15" s="18"/>
      <c r="C15" s="27">
        <f t="shared" ref="C15:G15" si="8">C3/B3-1</f>
        <v>2.6819896942062771E-2</v>
      </c>
      <c r="D15" s="27">
        <f t="shared" si="8"/>
        <v>2.6616505995767703E-2</v>
      </c>
      <c r="E15" s="27">
        <f t="shared" si="8"/>
        <v>-0.1034243572377419</v>
      </c>
      <c r="F15" s="27">
        <f t="shared" si="8"/>
        <v>1.6458412401833433E-2</v>
      </c>
      <c r="G15" s="27">
        <f t="shared" si="8"/>
        <v>3.7568124537758374E-2</v>
      </c>
      <c r="H15" s="27">
        <f t="shared" ref="H15:K15" si="9">H3/G3-1</f>
        <v>4.1329005737063884E-2</v>
      </c>
      <c r="I15" s="27">
        <f t="shared" si="9"/>
        <v>7.5044360707378743E-2</v>
      </c>
      <c r="J15" s="27">
        <f t="shared" si="9"/>
        <v>6.2430840179769076E-2</v>
      </c>
      <c r="K15" s="27">
        <f t="shared" si="9"/>
        <v>3.9892471866963097E-2</v>
      </c>
    </row>
    <row r="16" spans="1:11">
      <c r="A16" s="28" t="s">
        <v>49</v>
      </c>
      <c r="B16" s="18"/>
      <c r="C16" s="18"/>
      <c r="D16" s="18"/>
      <c r="E16" s="18"/>
      <c r="F16" s="27">
        <f t="shared" ref="F16:K16" si="10">F3/B3-1</f>
        <v>-3.9319293356419038E-2</v>
      </c>
      <c r="G16" s="27">
        <f t="shared" si="10"/>
        <v>-2.9263377111954592E-2</v>
      </c>
      <c r="H16" s="27">
        <f t="shared" si="10"/>
        <v>-1.5351695164804946E-2</v>
      </c>
      <c r="I16" s="27">
        <f t="shared" si="10"/>
        <v>0.18064841035821688</v>
      </c>
      <c r="J16" s="27">
        <f t="shared" si="10"/>
        <v>0.23404683090753742</v>
      </c>
      <c r="K16" s="27">
        <f t="shared" si="10"/>
        <v>0.23681132741403044</v>
      </c>
    </row>
    <row r="18" spans="1:11">
      <c r="A18" s="11" t="s">
        <v>27</v>
      </c>
      <c r="B18" s="11" t="s">
        <v>1</v>
      </c>
      <c r="C18" s="11" t="s">
        <v>2</v>
      </c>
      <c r="D18" s="11" t="s">
        <v>3</v>
      </c>
      <c r="E18" s="11" t="s">
        <v>4</v>
      </c>
      <c r="F18" s="12" t="s">
        <v>5</v>
      </c>
      <c r="G18" s="11" t="s">
        <v>6</v>
      </c>
      <c r="H18" s="11" t="s">
        <v>7</v>
      </c>
      <c r="I18" s="11" t="s">
        <v>8</v>
      </c>
      <c r="J18" s="12" t="s">
        <v>9</v>
      </c>
      <c r="K18" s="11" t="s">
        <v>10</v>
      </c>
    </row>
    <row r="19" spans="1:11">
      <c r="A19" s="29" t="s">
        <v>50</v>
      </c>
      <c r="B19" s="18"/>
      <c r="C19" s="27">
        <f t="shared" ref="C19:K19" si="11">C4/B4-1</f>
        <v>2.9880859649347169E-3</v>
      </c>
      <c r="D19" s="27">
        <f t="shared" si="11"/>
        <v>7.880832643707425E-3</v>
      </c>
      <c r="E19" s="27">
        <f t="shared" si="11"/>
        <v>-4.2948815117982431E-4</v>
      </c>
      <c r="F19" s="27">
        <f t="shared" si="11"/>
        <v>3.4828762795400037E-2</v>
      </c>
      <c r="G19" s="27">
        <f t="shared" si="11"/>
        <v>1.178467625723556E-2</v>
      </c>
      <c r="H19" s="27">
        <f t="shared" si="11"/>
        <v>3.8104549130366649E-2</v>
      </c>
      <c r="I19" s="27">
        <f t="shared" si="11"/>
        <v>3.2531857501627792E-2</v>
      </c>
      <c r="J19" s="27">
        <f t="shared" si="11"/>
        <v>1.4300835529130973E-2</v>
      </c>
      <c r="K19" s="27">
        <f t="shared" si="11"/>
        <v>4.7304498423553554E-2</v>
      </c>
    </row>
    <row r="20" spans="1:11">
      <c r="A20" s="29" t="s">
        <v>51</v>
      </c>
      <c r="B20" s="18"/>
      <c r="C20" s="18"/>
      <c r="D20" s="18"/>
      <c r="E20" s="18"/>
      <c r="F20" s="27">
        <f t="shared" ref="F20:K20" si="12">F4/B4-1</f>
        <v>4.5651313353168854E-2</v>
      </c>
      <c r="G20" s="27">
        <f t="shared" si="12"/>
        <v>5.4822076516646501E-2</v>
      </c>
      <c r="H20" s="27">
        <f t="shared" si="12"/>
        <v>8.6453438431610241E-2</v>
      </c>
      <c r="I20" s="27">
        <f t="shared" si="12"/>
        <v>0.12227979274611389</v>
      </c>
      <c r="J20" s="27">
        <f t="shared" si="12"/>
        <v>0.10001709693964789</v>
      </c>
      <c r="K20" s="27">
        <f t="shared" si="12"/>
        <v>0.13863441599980697</v>
      </c>
    </row>
  </sheetData>
  <phoneticPr fontId="1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79503-1510-2346-AF32-4F3D8E489CD5}">
  <dimension ref="A2:K13"/>
  <sheetViews>
    <sheetView tabSelected="1" workbookViewId="0">
      <pane xSplit="1" ySplit="2" topLeftCell="D3" activePane="bottomRight" state="frozen"/>
      <selection pane="bottomRight" activeCell="G2" sqref="G2:K5"/>
      <selection pane="bottomLeft" activeCell="A3" sqref="A3"/>
      <selection pane="topRight" activeCell="B1" sqref="B1"/>
    </sheetView>
  </sheetViews>
  <sheetFormatPr defaultColWidth="11" defaultRowHeight="15.6"/>
  <cols>
    <col min="1" max="1" width="27.5" customWidth="1"/>
    <col min="2" max="2" width="11.5" customWidth="1"/>
    <col min="3" max="3" width="12.125" customWidth="1"/>
    <col min="4" max="4" width="12.5" customWidth="1"/>
    <col min="5" max="7" width="11.125" customWidth="1"/>
    <col min="8" max="8" width="13.375" customWidth="1"/>
  </cols>
  <sheetData>
    <row r="2" spans="1:11">
      <c r="A2" s="11" t="s">
        <v>46</v>
      </c>
      <c r="B2" s="12" t="s">
        <v>1</v>
      </c>
      <c r="C2" s="12" t="s">
        <v>2</v>
      </c>
      <c r="D2" s="12" t="s">
        <v>3</v>
      </c>
      <c r="E2" s="12" t="s">
        <v>4</v>
      </c>
      <c r="F2" s="11" t="s">
        <v>5</v>
      </c>
      <c r="G2" s="12" t="s">
        <v>6</v>
      </c>
      <c r="H2" s="12" t="s">
        <v>7</v>
      </c>
      <c r="I2" s="12" t="s">
        <v>8</v>
      </c>
      <c r="J2" s="11" t="s">
        <v>9</v>
      </c>
      <c r="K2" s="12" t="s">
        <v>10</v>
      </c>
    </row>
    <row r="3" spans="1:11">
      <c r="A3" s="24" t="s">
        <v>52</v>
      </c>
      <c r="B3" s="10">
        <f>50574572851/1000000</f>
        <v>50574.572850999997</v>
      </c>
      <c r="C3" s="10">
        <f>48318002739/1000000</f>
        <v>48318.002739000003</v>
      </c>
      <c r="D3" s="10">
        <f>52681949607/1000000</f>
        <v>52681.949607000002</v>
      </c>
      <c r="E3" s="10">
        <f>58967116911/1000000</f>
        <v>58967.116910999997</v>
      </c>
      <c r="F3" s="9">
        <f>60807261494/1000000</f>
        <v>60807.261493999998</v>
      </c>
      <c r="G3" s="31">
        <f>59475723666/1000000</f>
        <v>59475.723665999998</v>
      </c>
      <c r="H3" s="31">
        <f>65062839113.64/1000000</f>
        <v>65062.839113640002</v>
      </c>
      <c r="I3" s="31">
        <f>69811973412/1000000</f>
        <v>69811.973412000007</v>
      </c>
      <c r="J3" s="31">
        <f>73449003770/1000000</f>
        <v>73449.003769999996</v>
      </c>
      <c r="K3" s="31">
        <v>69650</v>
      </c>
    </row>
    <row r="4" spans="1:11">
      <c r="A4" s="25" t="s">
        <v>53</v>
      </c>
      <c r="B4" s="10">
        <f>54354961966/1000000</f>
        <v>54354.961966000003</v>
      </c>
      <c r="C4" s="10">
        <f>49929433855/1000000</f>
        <v>49929.433855000003</v>
      </c>
      <c r="D4" s="10">
        <f>48490598437/1000000</f>
        <v>48490.598437000001</v>
      </c>
      <c r="E4" s="10">
        <f>52210324852/1000000</f>
        <v>52210.324851999998</v>
      </c>
      <c r="F4" s="9">
        <f>53849282977/1000000</f>
        <v>53849.282977000003</v>
      </c>
      <c r="G4" s="31">
        <f>52698555370/1000000</f>
        <v>52698.555370000002</v>
      </c>
      <c r="H4" s="31">
        <f>54347852138.38/1000000</f>
        <v>54347.852138379996</v>
      </c>
      <c r="I4" s="31">
        <f>55642980227/1000000</f>
        <v>55642.980227</v>
      </c>
      <c r="J4" s="31">
        <f>56760252506/1000000</f>
        <v>56760.252505999997</v>
      </c>
      <c r="K4" s="31">
        <v>55312</v>
      </c>
    </row>
    <row r="5" spans="1:11">
      <c r="A5" s="11" t="s">
        <v>54</v>
      </c>
      <c r="B5" s="23">
        <f t="shared" ref="B5:F5" si="0">SUM(B3:B4)</f>
        <v>104929.53481700001</v>
      </c>
      <c r="C5" s="23">
        <f t="shared" si="0"/>
        <v>98247.436593999999</v>
      </c>
      <c r="D5" s="23">
        <f t="shared" si="0"/>
        <v>101172.548044</v>
      </c>
      <c r="E5" s="23">
        <f t="shared" si="0"/>
        <v>111177.441763</v>
      </c>
      <c r="F5" s="23">
        <f t="shared" si="0"/>
        <v>114656.544471</v>
      </c>
      <c r="G5" s="23">
        <f>SUM(G3:G4)</f>
        <v>112174.27903599999</v>
      </c>
      <c r="H5" s="23">
        <f>SUM(H3:H4)</f>
        <v>119410.69125202</v>
      </c>
      <c r="I5" s="23">
        <f>SUM(I3:I4)</f>
        <v>125454.95363900001</v>
      </c>
      <c r="J5" s="23">
        <f>SUM(J3:J4)</f>
        <v>130209.256276</v>
      </c>
      <c r="K5" s="23">
        <f>SUM(K3:K4)</f>
        <v>124962</v>
      </c>
    </row>
    <row r="6" spans="1:11">
      <c r="A6" s="38" t="s">
        <v>17</v>
      </c>
      <c r="B6" s="35" t="e">
        <f t="shared" ref="B6:G6" si="1">B5/A5-1</f>
        <v>#VALUE!</v>
      </c>
      <c r="C6" s="35">
        <f t="shared" si="1"/>
        <v>-6.3681767337039785E-2</v>
      </c>
      <c r="D6" s="35">
        <f t="shared" si="1"/>
        <v>2.9772903511852356E-2</v>
      </c>
      <c r="E6" s="35">
        <f t="shared" si="1"/>
        <v>9.8889411331706922E-2</v>
      </c>
      <c r="F6" s="35">
        <f t="shared" si="1"/>
        <v>3.129324306109238E-2</v>
      </c>
      <c r="G6" s="35">
        <f t="shared" si="1"/>
        <v>-2.1649574792722337E-2</v>
      </c>
      <c r="H6" s="35">
        <f>H5/G5-1</f>
        <v>6.4510441058396539E-2</v>
      </c>
      <c r="I6" s="35">
        <f>I5/H5-1</f>
        <v>5.061743068067015E-2</v>
      </c>
      <c r="J6" s="35">
        <f>J5/I5-1</f>
        <v>3.7896491920762498E-2</v>
      </c>
      <c r="K6" s="35">
        <f t="shared" ref="K6" si="2">K5/J5-1</f>
        <v>-4.0298642554854713E-2</v>
      </c>
    </row>
    <row r="7" spans="1:11">
      <c r="A7" s="39" t="s">
        <v>18</v>
      </c>
      <c r="B7" s="34"/>
      <c r="C7" s="36"/>
      <c r="D7" s="36"/>
      <c r="E7" s="36"/>
      <c r="F7" s="37">
        <f t="shared" ref="F7:K7" si="3">F5/B5-1</f>
        <v>9.2700398138275908E-2</v>
      </c>
      <c r="G7" s="37">
        <f t="shared" si="3"/>
        <v>0.14175273090891527</v>
      </c>
      <c r="H7" s="37">
        <f t="shared" si="3"/>
        <v>0.18026770661235325</v>
      </c>
      <c r="I7" s="37">
        <f t="shared" si="3"/>
        <v>0.12842094268040261</v>
      </c>
      <c r="J7" s="37">
        <f t="shared" si="3"/>
        <v>0.13564608873184492</v>
      </c>
      <c r="K7" s="37">
        <f t="shared" si="3"/>
        <v>0.11399869091109616</v>
      </c>
    </row>
    <row r="9" spans="1:11">
      <c r="A9" s="32" t="s">
        <v>27</v>
      </c>
      <c r="B9" s="12" t="s">
        <v>1</v>
      </c>
      <c r="C9" s="12" t="s">
        <v>2</v>
      </c>
      <c r="D9" s="12" t="s">
        <v>3</v>
      </c>
      <c r="E9" s="12" t="s">
        <v>4</v>
      </c>
      <c r="F9" s="11" t="s">
        <v>5</v>
      </c>
      <c r="G9" s="12" t="s">
        <v>6</v>
      </c>
      <c r="H9" s="12" t="s">
        <v>7</v>
      </c>
      <c r="I9" s="12" t="s">
        <v>8</v>
      </c>
      <c r="J9" s="11" t="s">
        <v>9</v>
      </c>
      <c r="K9" s="12" t="s">
        <v>10</v>
      </c>
    </row>
    <row r="10" spans="1:11">
      <c r="A10" s="24" t="s">
        <v>48</v>
      </c>
      <c r="B10" s="18"/>
      <c r="C10" s="27">
        <f t="shared" ref="C10:G10" si="4">C3/B3-1</f>
        <v>-4.4618668726044919E-2</v>
      </c>
      <c r="D10" s="27">
        <f t="shared" si="4"/>
        <v>9.031720312556768E-2</v>
      </c>
      <c r="E10" s="27">
        <f t="shared" si="4"/>
        <v>0.11930399977385919</v>
      </c>
      <c r="F10" s="27">
        <f t="shared" si="4"/>
        <v>3.1206283762819309E-2</v>
      </c>
      <c r="G10" s="27">
        <f t="shared" si="4"/>
        <v>-2.1897677929985204E-2</v>
      </c>
      <c r="H10" s="27">
        <f>H3/G3-1</f>
        <v>9.3939427774191842E-2</v>
      </c>
      <c r="I10" s="27">
        <f>I3/H3-1</f>
        <v>7.2993038162153967E-2</v>
      </c>
      <c r="J10" s="27">
        <f>J3/I3-1</f>
        <v>5.2097515372267367E-2</v>
      </c>
      <c r="K10" s="27">
        <f t="shared" ref="K10" si="5">K3/J3-1</f>
        <v>-5.1723012906972676E-2</v>
      </c>
    </row>
    <row r="11" spans="1:11">
      <c r="A11" s="24" t="s">
        <v>49</v>
      </c>
      <c r="B11" s="18"/>
      <c r="C11" s="18"/>
      <c r="D11" s="18"/>
      <c r="E11" s="18"/>
      <c r="F11" s="27">
        <f t="shared" ref="F11:K11" si="6">F3/B3-1</f>
        <v>0.20232872105805</v>
      </c>
      <c r="G11" s="27">
        <f t="shared" si="6"/>
        <v>0.23092264362148418</v>
      </c>
      <c r="H11" s="27">
        <f t="shared" si="6"/>
        <v>0.23501198416155256</v>
      </c>
      <c r="I11" s="27">
        <f t="shared" si="6"/>
        <v>0.1839136296483399</v>
      </c>
      <c r="J11" s="27">
        <f t="shared" si="6"/>
        <v>0.20789856285909858</v>
      </c>
      <c r="K11" s="27">
        <f t="shared" si="6"/>
        <v>0.17106603681085164</v>
      </c>
    </row>
    <row r="12" spans="1:11">
      <c r="A12" s="25" t="s">
        <v>50</v>
      </c>
      <c r="B12" s="18"/>
      <c r="C12" s="27">
        <f t="shared" ref="C12:K12" si="7">C4/B4-1</f>
        <v>-8.1419026909967274E-2</v>
      </c>
      <c r="D12" s="27">
        <f t="shared" si="7"/>
        <v>-2.8817378986882192E-2</v>
      </c>
      <c r="E12" s="27">
        <f t="shared" si="7"/>
        <v>7.6710260027678334E-2</v>
      </c>
      <c r="F12" s="27">
        <f t="shared" si="7"/>
        <v>3.1391456185073441E-2</v>
      </c>
      <c r="G12" s="27">
        <f t="shared" si="7"/>
        <v>-2.1369413730011888E-2</v>
      </c>
      <c r="H12" s="27">
        <f t="shared" si="7"/>
        <v>3.1296811777859368E-2</v>
      </c>
      <c r="I12" s="27">
        <f t="shared" si="7"/>
        <v>2.3830345407622744E-2</v>
      </c>
      <c r="J12" s="27">
        <f t="shared" si="7"/>
        <v>2.0079303345039934E-2</v>
      </c>
      <c r="K12" s="27">
        <f t="shared" si="7"/>
        <v>-2.5515258337635238E-2</v>
      </c>
    </row>
    <row r="13" spans="1:11">
      <c r="A13" s="25" t="s">
        <v>51</v>
      </c>
      <c r="B13" s="18"/>
      <c r="C13" s="18"/>
      <c r="D13" s="18"/>
      <c r="E13" s="18"/>
      <c r="F13" s="27">
        <f t="shared" ref="F13:K13" si="8">F4/B4-1</f>
        <v>-9.303271876380137E-3</v>
      </c>
      <c r="G13" s="27">
        <f t="shared" si="8"/>
        <v>5.5460703260561628E-2</v>
      </c>
      <c r="H13" s="27">
        <f t="shared" si="8"/>
        <v>0.12079153258935049</v>
      </c>
      <c r="I13" s="27">
        <f t="shared" si="8"/>
        <v>6.5746677208588622E-2</v>
      </c>
      <c r="J13" s="27">
        <f t="shared" si="8"/>
        <v>5.4057721255885927E-2</v>
      </c>
      <c r="K13" s="27">
        <f t="shared" si="8"/>
        <v>4.9592339138157193E-2</v>
      </c>
    </row>
  </sheetData>
  <phoneticPr fontId="1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4B9E4FD312C947A2C718E5981839D6" ma:contentTypeVersion="3" ma:contentTypeDescription="Create a new document." ma:contentTypeScope="" ma:versionID="23845c1b148026a5e114e0a0c9be1f52">
  <xsd:schema xmlns:xsd="http://www.w3.org/2001/XMLSchema" xmlns:xs="http://www.w3.org/2001/XMLSchema" xmlns:p="http://schemas.microsoft.com/office/2006/metadata/properties" xmlns:ns2="b0e8765c-fed2-48b7-8cad-38ae77f33819" targetNamespace="http://schemas.microsoft.com/office/2006/metadata/properties" ma:root="true" ma:fieldsID="949c91f3ac1c4a523b9bf51188c68690" ns2:_="">
    <xsd:import namespace="b0e8765c-fed2-48b7-8cad-38ae77f338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e8765c-fed2-48b7-8cad-38ae77f33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A3DA7F-33A4-4491-853B-82A84AE11BF8}"/>
</file>

<file path=customXml/itemProps2.xml><?xml version="1.0" encoding="utf-8"?>
<ds:datastoreItem xmlns:ds="http://schemas.openxmlformats.org/officeDocument/2006/customXml" ds:itemID="{BF24F796-A280-4C6B-82EB-72F4A8B9FB6D}"/>
</file>

<file path=customXml/itemProps3.xml><?xml version="1.0" encoding="utf-8"?>
<ds:datastoreItem xmlns:ds="http://schemas.openxmlformats.org/officeDocument/2006/customXml" ds:itemID="{6D15F3F0-FE9D-4F73-8EA1-4AE11FF0A0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L.B Mensah Dodoo</dc:creator>
  <cp:keywords/>
  <dc:description/>
  <cp:lastModifiedBy/>
  <cp:revision/>
  <dcterms:created xsi:type="dcterms:W3CDTF">2025-05-19T14:36:35Z</dcterms:created>
  <dcterms:modified xsi:type="dcterms:W3CDTF">2026-05-13T10:30:56Z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0x010100FA4B9E4FD312C947A2C718E5981839D6</vt:lpwstr>
  </property>
</Properties>
</file>