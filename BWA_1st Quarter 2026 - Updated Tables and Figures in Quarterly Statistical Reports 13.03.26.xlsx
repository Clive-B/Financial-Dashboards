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lithur\Documents\Data\Quaterly Reports\Data\"/>
    </mc:Choice>
  </mc:AlternateContent>
  <xr:revisionPtr revIDLastSave="0" documentId="8_{C9764591-47C5-4D0B-8335-D6C20FFA6414}" xr6:coauthVersionLast="47" xr6:coauthVersionMax="47" xr10:uidLastSave="{00000000-0000-0000-0000-000000000000}"/>
  <bookViews>
    <workbookView xWindow="-110" yWindow="-110" windowWidth="19420" windowHeight="11500" firstSheet="3" xr2:uid="{48B2AD77-C6C2-DC48-B43C-E242C6807AD0}"/>
  </bookViews>
  <sheets>
    <sheet name="19. BWA Subs and Penetration" sheetId="20" r:id="rId1"/>
    <sheet name="20. BWA Subs per Operator" sheetId="22" r:id="rId2"/>
    <sheet name="BWA Subs per Operator (2)" sheetId="42" r:id="rId3"/>
    <sheet name="Ta21. BBand Vol of Int. Traffic" sheetId="21" r:id="rId4"/>
    <sheet name="22. Traffic per BWAs" sheetId="23" r:id="rId5"/>
    <sheet name="23. Data Usage per BWA" sheetId="24" r:id="rId6"/>
  </sheets>
  <externalReferences>
    <externalReference r:id="rId7"/>
    <externalReference r:id="rId8"/>
  </externalReferences>
  <definedNames>
    <definedName name="__123Graph_B" hidden="1">'[1]F&amp;F'!#REF!</definedName>
    <definedName name="__123Graph_BCURRENT" hidden="1">'[1]F&amp;F'!#REF!</definedName>
    <definedName name="_Fill" hidden="1">'[1]F&amp;F'!#REF!</definedName>
    <definedName name="_Key1" hidden="1">'[1]F&amp;F'!#REF!</definedName>
    <definedName name="_Key2" hidden="1">'[1]F&amp;F'!#REF!</definedName>
    <definedName name="_NewNewNnew">#REF!</definedName>
    <definedName name="_Order1" hidden="1">255</definedName>
    <definedName name="_Order2" hidden="1">255</definedName>
    <definedName name="_Sort" hidden="1">'[1]F&amp;F'!#REF!</definedName>
    <definedName name="_telecos1" hidden="1">'[1]F&amp;F'!#REF!</definedName>
    <definedName name="abc" hidden="1">{#N/A,#N/A,FALSE,"Sensitivity"}</definedName>
    <definedName name="abccc" hidden="1">{#N/A,#N/A,FALSE,"Sensitivity"}</definedName>
    <definedName name="abcd" hidden="1">{#N/A,#N/A,FALSE,"Sensitivity"}</definedName>
    <definedName name="ASS" hidden="1">{#N/A,#N/A,FALSE,"Sensitivity"}</definedName>
    <definedName name="CostPoolTotals">#REF!</definedName>
    <definedName name="ForecastYears">#N/A</definedName>
    <definedName name="HistoryYears">#N/A</definedName>
    <definedName name="LastComputedStamp">#REF!</definedName>
    <definedName name="New_Key1">"'[1]f&amp;f'!#ref!"</definedName>
    <definedName name="New_New">#REF!</definedName>
    <definedName name="New_Sheet">#REF!</definedName>
    <definedName name="NewNew">#REF!</definedName>
    <definedName name="NewSh">#REF!</definedName>
    <definedName name="nj" hidden="1">{#N/A,#N/A,FALSE,"Sensitivity"}</definedName>
    <definedName name="SS_site_acquisition_fees_new_RBS_site">#REF!</definedName>
    <definedName name="Translational" hidden="1">{#N/A,#N/A,FALSE,"Sensitivity"}</definedName>
    <definedName name="wrn.Sensitivity." hidden="1">{#N/A,#N/A,FALSE,"Sensitivity"}</definedName>
    <definedName name="wrn.sensitivity2" hidden="1">{#N/A,#N/A,FALSE,"Sensitivity"}</definedName>
    <definedName name="wrn.sensitivity3" hidden="1">{#N/A,#N/A,FALSE,"Sensitivity"}</definedName>
    <definedName name="year">[2]ModelSettings!$C$8</definedName>
    <definedName name="Year1_Capex">#REF!</definedName>
    <definedName name="Year1_Costs">#REF!</definedName>
    <definedName name="Year1_Depreciation">#REF!</definedName>
    <definedName name="Year1_Manpower">#REF!</definedName>
    <definedName name="Year1_Other">#REF!</definedName>
    <definedName name="Year10_Capex">#REF!</definedName>
    <definedName name="Year10_Costs">#REF!</definedName>
    <definedName name="Year10_Depreciation">#REF!</definedName>
    <definedName name="Year10_Manpower">#REF!</definedName>
    <definedName name="Year10_Other">#REF!</definedName>
    <definedName name="Year2_Capex">#REF!</definedName>
    <definedName name="Year2_Costs">#REF!</definedName>
    <definedName name="Year2_Depreciation">#REF!</definedName>
    <definedName name="Year2_Manpower">#REF!</definedName>
    <definedName name="Year2_Other">#REF!</definedName>
    <definedName name="Year3_Capex">#REF!</definedName>
    <definedName name="Year3_Costs">#REF!</definedName>
    <definedName name="Year3_Depreciation">#REF!</definedName>
    <definedName name="Year3_Manpower">#REF!</definedName>
    <definedName name="Year3_Other">#REF!</definedName>
    <definedName name="Year4_Capex">#REF!</definedName>
    <definedName name="Year4_Costs">#REF!</definedName>
    <definedName name="Year4_Depreciation">#REF!</definedName>
    <definedName name="Year4_Manpower">#REF!</definedName>
    <definedName name="Year4_Other">#REF!</definedName>
    <definedName name="Year5_Capex">#REF!</definedName>
    <definedName name="Year5_Costs">#REF!</definedName>
    <definedName name="Year5_Depreciation">#REF!</definedName>
    <definedName name="Year5_Manpower">#REF!</definedName>
    <definedName name="Year5_Other">#REF!</definedName>
    <definedName name="Year6_Capex">#REF!</definedName>
    <definedName name="Year6_Costs">#REF!</definedName>
    <definedName name="Year6_Depreciation">#REF!</definedName>
    <definedName name="Year6_Manpower">#REF!</definedName>
    <definedName name="Year6_Other">#REF!</definedName>
    <definedName name="Year7_Capex">#REF!</definedName>
    <definedName name="Year7_Costs">#REF!</definedName>
    <definedName name="Year7_Depreciation">#REF!</definedName>
    <definedName name="Year7_Manpower">#REF!</definedName>
    <definedName name="Year7_Other">#REF!</definedName>
    <definedName name="Year8_Capex">#REF!</definedName>
    <definedName name="Year8_Costs">#REF!</definedName>
    <definedName name="Year8_Depreciation">#REF!</definedName>
    <definedName name="Year8_Manpower">#REF!</definedName>
    <definedName name="Year8_Other">#REF!</definedName>
    <definedName name="Year9_Capex">#REF!</definedName>
    <definedName name="Year9_Costs">#REF!</definedName>
    <definedName name="Year9_Depreciation">#REF!</definedName>
    <definedName name="Year9_Manpower">#REF!</definedName>
    <definedName name="Year9_Other">#REF!</definedName>
    <definedName name="YearCapex">#REF!</definedName>
    <definedName name="Z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22" l="1"/>
  <c r="L5" i="24"/>
  <c r="M8" i="23"/>
  <c r="L6" i="21"/>
  <c r="L8" i="20"/>
  <c r="L7" i="20"/>
  <c r="L10" i="20"/>
  <c r="L11" i="20"/>
  <c r="L8" i="24" l="1"/>
  <c r="L9" i="24"/>
  <c r="M9" i="23"/>
  <c r="L7" i="21"/>
  <c r="K6" i="21" l="1"/>
  <c r="K7" i="21"/>
  <c r="J5" i="24" l="1"/>
  <c r="J8" i="24" s="1"/>
  <c r="K5" i="24"/>
  <c r="K9" i="24" s="1"/>
  <c r="K8" i="23"/>
  <c r="L8" i="23"/>
  <c r="K9" i="23"/>
  <c r="L9" i="23"/>
  <c r="K4" i="42"/>
  <c r="K4" i="22"/>
  <c r="J10" i="20"/>
  <c r="K10" i="20"/>
  <c r="J11" i="20"/>
  <c r="K11" i="20"/>
  <c r="J4" i="20"/>
  <c r="K4" i="20"/>
  <c r="J5" i="20"/>
  <c r="K5" i="20"/>
  <c r="J7" i="20"/>
  <c r="K7" i="20"/>
  <c r="J9" i="24" l="1"/>
  <c r="K8" i="24"/>
  <c r="J6" i="21" l="1"/>
  <c r="J7" i="21"/>
  <c r="J4" i="42"/>
  <c r="J4" i="22"/>
  <c r="G5" i="24" l="1"/>
  <c r="F5" i="24"/>
  <c r="E5" i="24"/>
  <c r="D5" i="24"/>
  <c r="C5" i="24"/>
  <c r="I11" i="20" l="1"/>
  <c r="I9" i="24"/>
  <c r="I8" i="24"/>
  <c r="J9" i="23"/>
  <c r="J8" i="23"/>
  <c r="I7" i="21"/>
  <c r="I6" i="21"/>
  <c r="I4" i="42"/>
  <c r="I4" i="22"/>
  <c r="I6" i="20"/>
  <c r="G8" i="20"/>
  <c r="H8" i="20"/>
  <c r="I5" i="20"/>
  <c r="I4" i="20"/>
  <c r="I5" i="24"/>
  <c r="D6" i="21"/>
  <c r="E6" i="21"/>
  <c r="F6" i="21"/>
  <c r="G6" i="21"/>
  <c r="H6" i="21"/>
  <c r="G7" i="21"/>
  <c r="H7" i="21"/>
  <c r="I10" i="20"/>
  <c r="I7" i="20"/>
  <c r="C3" i="24"/>
  <c r="D3" i="24"/>
  <c r="E3" i="24"/>
  <c r="F3" i="24"/>
  <c r="G3" i="24"/>
  <c r="H3" i="24"/>
  <c r="I5" i="23"/>
  <c r="H5" i="23"/>
  <c r="G5" i="23"/>
  <c r="F5" i="23"/>
  <c r="E5" i="23"/>
  <c r="D5" i="23"/>
  <c r="D3" i="23"/>
  <c r="E3" i="23"/>
  <c r="F3" i="23"/>
  <c r="G3" i="23"/>
  <c r="H3" i="23"/>
  <c r="I3" i="23"/>
  <c r="C3" i="21"/>
  <c r="D3" i="21"/>
  <c r="E3" i="21"/>
  <c r="F3" i="21"/>
  <c r="G3" i="21"/>
  <c r="H3" i="21"/>
  <c r="D8" i="24" l="1"/>
  <c r="E8" i="24"/>
  <c r="F8" i="24"/>
  <c r="I8" i="23"/>
  <c r="H9" i="23"/>
  <c r="I9" i="23"/>
  <c r="E8" i="23"/>
  <c r="F8" i="23"/>
  <c r="G8" i="23"/>
  <c r="H8" i="23"/>
  <c r="G11" i="20"/>
  <c r="H11" i="20"/>
  <c r="D10" i="20"/>
  <c r="E10" i="20"/>
  <c r="F10" i="20"/>
  <c r="G10" i="20"/>
  <c r="H10" i="20"/>
  <c r="H7" i="20" l="1"/>
  <c r="H5" i="24"/>
  <c r="H9" i="24" l="1"/>
  <c r="H8" i="24"/>
  <c r="G8" i="24"/>
  <c r="G9" i="24"/>
</calcChain>
</file>

<file path=xl/sharedStrings.xml><?xml version="1.0" encoding="utf-8"?>
<sst xmlns="http://schemas.openxmlformats.org/spreadsheetml/2006/main" count="127" uniqueCount="34">
  <si>
    <t>Q1 2025</t>
  </si>
  <si>
    <t>Q2 2025</t>
  </si>
  <si>
    <t>Data Usage per Subscription (TB)</t>
  </si>
  <si>
    <t>Q1 2024</t>
  </si>
  <si>
    <t>Q2 2024</t>
  </si>
  <si>
    <t>Q3 2024</t>
  </si>
  <si>
    <t>Q4 2024</t>
  </si>
  <si>
    <t>Q4 2023</t>
  </si>
  <si>
    <t>Population</t>
  </si>
  <si>
    <t>Penetration Rate (%)</t>
  </si>
  <si>
    <t>Q-o-Q</t>
  </si>
  <si>
    <t>Y-o-Y</t>
  </si>
  <si>
    <t>Market Share (%)</t>
  </si>
  <si>
    <t>Subscription</t>
  </si>
  <si>
    <t>Q4 2025</t>
  </si>
  <si>
    <t>Net Additions</t>
  </si>
  <si>
    <t>BWA Operator</t>
  </si>
  <si>
    <t>BWA Subscription</t>
  </si>
  <si>
    <t>Growth rate (%)</t>
  </si>
  <si>
    <t>Q-o-Q (BWA Subscriptions)</t>
  </si>
  <si>
    <t>Y-o-Y (BWA Subscriptions)</t>
  </si>
  <si>
    <t>Subscription and Market Share</t>
  </si>
  <si>
    <t>Telesol</t>
  </si>
  <si>
    <t>Market share (%)</t>
  </si>
  <si>
    <t>Industry Total</t>
  </si>
  <si>
    <t>BWA operator</t>
  </si>
  <si>
    <t>Industry Total (TB)</t>
  </si>
  <si>
    <t>Q-o-Q (BWA Data Traffic)</t>
  </si>
  <si>
    <t>Y-o-Y (BWA Data Traffic)</t>
  </si>
  <si>
    <t>Data usage (MB)</t>
  </si>
  <si>
    <t>Average BWA Subscription</t>
  </si>
  <si>
    <t>Q3 2025</t>
  </si>
  <si>
    <t>Total Volume of Data Traffic (TB)</t>
  </si>
  <si>
    <t>Q1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</si>
</sst>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&quot; &quot;#,##0.00&quot; &quot;;&quot;-&quot;#,##0.00&quot; &quot;;&quot; &quot;&quot;-&quot;00&quot; &quot;;&quot; &quot;@&quot; &quot;"/>
    <numFmt numFmtId="165" formatCode="0.0000%"/>
    <numFmt numFmtId="166" formatCode="#,##0.000"/>
    <numFmt numFmtId="168" formatCode="_-* #,##0.00_-;\-* #,##0.00_-;_-* &quot;-&quot;??_-;_-@_-"/>
  </numFmts>
  <fonts count="9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0"/>
      <color theme="1"/>
      <name val="Cambria"/>
      <family val="1"/>
    </font>
    <font>
      <sz val="10"/>
      <color theme="1"/>
      <name val="Cambria"/>
      <family val="1"/>
    </font>
    <font>
      <sz val="11"/>
      <color theme="1"/>
      <name val="Calibri"/>
      <family val="2"/>
      <scheme val="minor"/>
    </font>
    <font>
      <sz val="10"/>
      <color theme="1"/>
      <name val="Liberation Sans"/>
    </font>
    <font>
      <sz val="8"/>
      <name val="Calibri"/>
      <family val="2"/>
      <scheme val="minor"/>
    </font>
    <font>
      <sz val="12"/>
      <color theme="1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4" fontId="6" fillId="0" borderId="0"/>
    <xf numFmtId="168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40">
    <xf numFmtId="0" fontId="0" fillId="0" borderId="0" xfId="0"/>
    <xf numFmtId="0" fontId="4" fillId="0" borderId="1" xfId="0" applyFont="1" applyBorder="1" applyAlignment="1">
      <alignment horizontal="left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0" fontId="4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3" fontId="3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9" fontId="4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10" fontId="4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 wrapText="1"/>
    </xf>
    <xf numFmtId="10" fontId="2" fillId="0" borderId="1" xfId="1" applyNumberFormat="1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 wrapText="1"/>
    </xf>
    <xf numFmtId="4" fontId="4" fillId="0" borderId="1" xfId="0" applyNumberFormat="1" applyFont="1" applyBorder="1" applyAlignment="1">
      <alignment horizontal="center" vertical="center" wrapText="1"/>
    </xf>
    <xf numFmtId="166" fontId="3" fillId="0" borderId="1" xfId="0" applyNumberFormat="1" applyFont="1" applyBorder="1" applyAlignment="1">
      <alignment horizontal="center" vertical="center" wrapText="1"/>
    </xf>
    <xf numFmtId="10" fontId="8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3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4" fontId="4" fillId="0" borderId="2" xfId="0" applyNumberFormat="1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10" fontId="0" fillId="0" borderId="1" xfId="0" applyNumberFormat="1" applyBorder="1"/>
    <xf numFmtId="3" fontId="0" fillId="0" borderId="1" xfId="0" applyNumberFormat="1" applyBorder="1"/>
    <xf numFmtId="3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</cellXfs>
  <cellStyles count="8">
    <cellStyle name="Comma 2" xfId="4" xr:uid="{5F1EF2BA-462D-E74E-9E55-086F6967E61B}"/>
    <cellStyle name="Comma 3" xfId="6" xr:uid="{AFD20C93-B0F0-7946-A9F7-0BC70575044A}"/>
    <cellStyle name="Excel Built-in Comma" xfId="5" xr:uid="{59E32F29-F297-AB43-9FF5-C0B43B6088C4}"/>
    <cellStyle name="Normal" xfId="0" builtinId="0"/>
    <cellStyle name="Normal 2" xfId="2" xr:uid="{C5798D99-4CEA-2A48-9BD6-DE320F302FCF}"/>
    <cellStyle name="Per cent 2" xfId="3" xr:uid="{5AFCACFE-45C9-2F44-8445-5698C5238BD8}"/>
    <cellStyle name="Percent" xfId="1" builtinId="5"/>
    <cellStyle name="Percent 2" xfId="7" xr:uid="{FFF8872E-B739-3049-9311-4F3DB0D153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'19. BWA Subs and Penetration'!$B$3</c:f>
              <c:strCache>
                <c:ptCount val="1"/>
                <c:pt idx="0">
                  <c:v>BWA Subscription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5400000" spcFirstLastPara="1" vertOverflow="ellipsis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G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'19. BWA Subs and Penetration'!$H$2:$L$2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'19. BWA Subs and Penetration'!$H$3:$L$3</c:f>
              <c:numCache>
                <c:formatCode>#,##0</c:formatCode>
                <c:ptCount val="5"/>
                <c:pt idx="0">
                  <c:v>1454</c:v>
                </c:pt>
                <c:pt idx="1">
                  <c:v>1454</c:v>
                </c:pt>
                <c:pt idx="2">
                  <c:v>1454</c:v>
                </c:pt>
                <c:pt idx="3">
                  <c:v>1454</c:v>
                </c:pt>
                <c:pt idx="4">
                  <c:v>1454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18-2143-ABE6-853A9F75C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1587643231"/>
        <c:axId val="1409763391"/>
      </c:barChart>
      <c:lineChart>
        <c:grouping val="standard"/>
        <c:varyColors val="0"/>
        <c:ser>
          <c:idx val="1"/>
          <c:order val="1"/>
          <c:tx>
            <c:strRef>
              <c:f>'19. BWA Subs and Penetration'!$B$7</c:f>
              <c:strCache>
                <c:ptCount val="1"/>
                <c:pt idx="0">
                  <c:v>Penetration Rate (%)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8"/>
            <c:spPr>
              <a:solidFill>
                <a:schemeClr val="tx1"/>
              </a:solidFill>
              <a:ln w="15875">
                <a:solidFill>
                  <a:schemeClr val="accent2"/>
                </a:solidFill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-7.5287545863049837E-2"/>
                  <c:y val="-4.67091295116772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618-2143-ABE6-853A9F75CDD4}"/>
                </c:ext>
              </c:extLst>
            </c:dLbl>
            <c:dLbl>
              <c:idx val="1"/>
              <c:layout>
                <c:manualLayout>
                  <c:x val="-6.6433566433566432E-2"/>
                  <c:y val="-4.67091295116772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618-2143-ABE6-853A9F75CDD4}"/>
                </c:ext>
              </c:extLst>
            </c:dLbl>
            <c:dLbl>
              <c:idx val="2"/>
              <c:layout>
                <c:manualLayout>
                  <c:x val="-6.8062827225130892E-2"/>
                  <c:y val="-5.0955414012738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4F4-564B-8881-9BE3E2F8D3DB}"/>
                </c:ext>
              </c:extLst>
            </c:dLbl>
            <c:dLbl>
              <c:idx val="3"/>
              <c:layout>
                <c:manualLayout>
                  <c:x val="-6.2827225130890244E-2"/>
                  <c:y val="-4.24628450106157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138-410B-A442-EBFB57BF38A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G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'19. BWA Subs and Penetration'!$H$2:$L$2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'19. BWA Subs and Penetration'!$H$7:$L$7</c:f>
              <c:numCache>
                <c:formatCode>0.0000%</c:formatCode>
                <c:ptCount val="5"/>
                <c:pt idx="0">
                  <c:v>4.3722922725489284E-5</c:v>
                </c:pt>
                <c:pt idx="1">
                  <c:v>4.3506981161253372E-5</c:v>
                </c:pt>
                <c:pt idx="2">
                  <c:v>4.3293163129310834E-5</c:v>
                </c:pt>
                <c:pt idx="3">
                  <c:v>4.3081435969153502E-5</c:v>
                </c:pt>
                <c:pt idx="4">
                  <c:v>4.2871769299638048E-5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18-2143-ABE6-853A9F75C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6441295"/>
        <c:axId val="1420304319"/>
      </c:lineChart>
      <c:catAx>
        <c:axId val="1587643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none" spc="0" normalizeH="0" baseline="0">
                <a:solidFill>
                  <a:sysClr val="windowText" lastClr="000000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1409763391"/>
        <c:crosses val="autoZero"/>
        <c:auto val="1"/>
        <c:lblAlgn val="ctr"/>
        <c:lblOffset val="100"/>
        <c:noMultiLvlLbl val="0"/>
      </c:catAx>
      <c:valAx>
        <c:axId val="1409763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1587643231"/>
        <c:crosses val="autoZero"/>
        <c:crossBetween val="between"/>
      </c:valAx>
      <c:valAx>
        <c:axId val="1420304319"/>
        <c:scaling>
          <c:orientation val="minMax"/>
          <c:min val="1.0000000000000001E-5"/>
        </c:scaling>
        <c:delete val="0"/>
        <c:axPos val="r"/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1506441295"/>
        <c:crosses val="max"/>
        <c:crossBetween val="between"/>
      </c:valAx>
      <c:catAx>
        <c:axId val="15064412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20304319"/>
        <c:crosses val="autoZero"/>
        <c:auto val="1"/>
        <c:lblAlgn val="ctr"/>
        <c:lblOffset val="100"/>
        <c:noMultiLvlLbl val="0"/>
      </c:cat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ysClr val="windowText" lastClr="000000"/>
              </a:solidFill>
              <a:latin typeface="Cambria" panose="02040503050406030204" pitchFamily="18" charset="0"/>
              <a:ea typeface="+mn-ea"/>
              <a:cs typeface="+mn-cs"/>
            </a:defRPr>
          </a:pPr>
          <a:endParaRPr lang="en-GH"/>
        </a:p>
      </c:txPr>
    </c:legend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1"/>
      </a:solidFill>
      <a:round/>
    </a:ln>
    <a:effectLst/>
  </c:spPr>
  <c:txPr>
    <a:bodyPr/>
    <a:lstStyle/>
    <a:p>
      <a:pPr>
        <a:defRPr sz="800" b="1">
          <a:solidFill>
            <a:sysClr val="windowText" lastClr="000000"/>
          </a:solidFill>
          <a:latin typeface="Cambria" panose="02040503050406030204" pitchFamily="18" charset="0"/>
        </a:defRPr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98905493956114"/>
          <c:y val="6.0215053763440864E-2"/>
          <c:w val="0.81833520809898763"/>
          <c:h val="0.75486715773431545"/>
        </c:manualLayout>
      </c:layout>
      <c:lineChart>
        <c:grouping val="standard"/>
        <c:varyColors val="0"/>
        <c:ser>
          <c:idx val="0"/>
          <c:order val="0"/>
          <c:tx>
            <c:strRef>
              <c:f>'20. BWA Subs per Operator'!$A$3:$A$4</c:f>
              <c:strCache>
                <c:ptCount val="1"/>
                <c:pt idx="0">
                  <c:v>Telesol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chemeClr val="tx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-5.3435114503816793E-2"/>
                  <c:y val="-5.16129032258064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651-2E45-8535-E2679EAF3841}"/>
                </c:ext>
              </c:extLst>
            </c:dLbl>
            <c:dLbl>
              <c:idx val="1"/>
              <c:layout>
                <c:manualLayout>
                  <c:x val="-4.5112781954887216E-2"/>
                  <c:y val="-4.30107526881720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651-2E45-8535-E2679EAF3841}"/>
                </c:ext>
              </c:extLst>
            </c:dLbl>
            <c:dLbl>
              <c:idx val="2"/>
              <c:layout>
                <c:manualLayout>
                  <c:x val="-5.2631578947368418E-2"/>
                  <c:y val="-5.16129032258064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651-2E45-8535-E2679EAF3841}"/>
                </c:ext>
              </c:extLst>
            </c:dLbl>
            <c:dLbl>
              <c:idx val="3"/>
              <c:layout>
                <c:manualLayout>
                  <c:x val="-6.2841530054644906E-2"/>
                  <c:y val="-4.30107526881720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B82-0249-9DF7-84DB98C86F09}"/>
                </c:ext>
              </c:extLst>
            </c:dLbl>
            <c:dLbl>
              <c:idx val="4"/>
              <c:layout>
                <c:manualLayout>
                  <c:x val="-6.8306010928961755E-2"/>
                  <c:y val="-3.8709677419354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B82-0249-9DF7-84DB98C86F0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G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'20. BWA Subs per Operator'!$H$2:$L$2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'20. BWA Subs per Operator'!$H$5:$L$5</c:f>
              <c:numCache>
                <c:formatCode>#,##0</c:formatCode>
                <c:ptCount val="5"/>
                <c:pt idx="0">
                  <c:v>1454</c:v>
                </c:pt>
                <c:pt idx="1">
                  <c:v>1454</c:v>
                </c:pt>
                <c:pt idx="2">
                  <c:v>1454</c:v>
                </c:pt>
                <c:pt idx="3">
                  <c:v>1454</c:v>
                </c:pt>
                <c:pt idx="4">
                  <c:v>1454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51-2E45-8535-E2679EAF38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0110015"/>
        <c:axId val="1489871103"/>
      </c:lineChart>
      <c:catAx>
        <c:axId val="1410110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none" spc="0" normalizeH="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GH"/>
          </a:p>
        </c:txPr>
        <c:crossAx val="1489871103"/>
        <c:crosses val="autoZero"/>
        <c:auto val="1"/>
        <c:lblAlgn val="ctr"/>
        <c:lblOffset val="100"/>
        <c:noMultiLvlLbl val="0"/>
      </c:catAx>
      <c:valAx>
        <c:axId val="148987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GB"/>
                  <a:t>BWA</a:t>
                </a:r>
                <a:r>
                  <a:rPr lang="en-GB" baseline="0"/>
                  <a:t> Subscriptions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GB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GH"/>
          </a:p>
        </c:txPr>
        <c:crossAx val="1410110015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G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5400" cap="flat" cmpd="sng" algn="ctr">
      <a:solidFill>
        <a:schemeClr val="accent1"/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ptos" panose="020B0004020202020204" pitchFamily="34" charset="0"/>
        </a:defRPr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98905493956114"/>
          <c:y val="6.0215053763440864E-2"/>
          <c:w val="0.81833520809898763"/>
          <c:h val="0.75486715773431545"/>
        </c:manualLayout>
      </c:layout>
      <c:lineChart>
        <c:grouping val="standard"/>
        <c:varyColors val="0"/>
        <c:ser>
          <c:idx val="0"/>
          <c:order val="0"/>
          <c:tx>
            <c:strRef>
              <c:f>'BWA Subs per Operator (2)'!$A$3:$A$4</c:f>
              <c:strCache>
                <c:ptCount val="1"/>
                <c:pt idx="0">
                  <c:v>Telesol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chemeClr val="tx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-5.3435114503816793E-2"/>
                  <c:y val="-5.16129032258064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058-9E4A-9708-B6F2A036CA9F}"/>
                </c:ext>
              </c:extLst>
            </c:dLbl>
            <c:dLbl>
              <c:idx val="1"/>
              <c:layout>
                <c:manualLayout>
                  <c:x val="-5.2631578947368418E-2"/>
                  <c:y val="-4.73118279569892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058-9E4A-9708-B6F2A036CA9F}"/>
                </c:ext>
              </c:extLst>
            </c:dLbl>
            <c:dLbl>
              <c:idx val="2"/>
              <c:layout>
                <c:manualLayout>
                  <c:x val="-5.764411027568922E-2"/>
                  <c:y val="-4.30107526881720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058-9E4A-9708-B6F2A036CA9F}"/>
                </c:ext>
              </c:extLst>
            </c:dLbl>
            <c:dLbl>
              <c:idx val="3"/>
              <c:layout>
                <c:manualLayout>
                  <c:x val="-5.764411027568922E-2"/>
                  <c:y val="-4.30107526881720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295-0D44-B002-803665FA46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G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'BWA Subs per Operator (2)'!$H$2:$L$2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'BWA Subs per Operator (2)'!$H$5:$L$5</c:f>
              <c:numCache>
                <c:formatCode>#,##0</c:formatCode>
                <c:ptCount val="5"/>
                <c:pt idx="0">
                  <c:v>1454</c:v>
                </c:pt>
                <c:pt idx="1">
                  <c:v>1454</c:v>
                </c:pt>
                <c:pt idx="2">
                  <c:v>1454</c:v>
                </c:pt>
                <c:pt idx="3">
                  <c:v>1454</c:v>
                </c:pt>
                <c:pt idx="4">
                  <c:v>1454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058-9E4A-9708-B6F2A036CA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0110015"/>
        <c:axId val="1489871103"/>
      </c:lineChart>
      <c:catAx>
        <c:axId val="1410110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none" spc="0" normalizeH="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GH"/>
          </a:p>
        </c:txPr>
        <c:crossAx val="1489871103"/>
        <c:crosses val="autoZero"/>
        <c:auto val="1"/>
        <c:lblAlgn val="ctr"/>
        <c:lblOffset val="100"/>
        <c:noMultiLvlLbl val="0"/>
      </c:catAx>
      <c:valAx>
        <c:axId val="148987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GB"/>
                  <a:t>BWA</a:t>
                </a:r>
                <a:r>
                  <a:rPr lang="en-GB" baseline="0"/>
                  <a:t> Subscriptions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GB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GH"/>
          </a:p>
        </c:txPr>
        <c:crossAx val="1410110015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G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5400" cap="flat" cmpd="sng" algn="ctr">
      <a:solidFill>
        <a:schemeClr val="accent1"/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ptos" panose="020B0004020202020204" pitchFamily="34" charset="0"/>
        </a:defRPr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G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'Ta21. BBand Vol of Int. Traffic'!$H$2:$L$2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'Ta21. BBand Vol of Int. Traffic'!$H$3:$L$3</c:f>
              <c:numCache>
                <c:formatCode>#,##0.00</c:formatCode>
                <c:ptCount val="5"/>
                <c:pt idx="0">
                  <c:v>141.622052</c:v>
                </c:pt>
                <c:pt idx="1">
                  <c:v>115.11</c:v>
                </c:pt>
                <c:pt idx="2">
                  <c:v>127.11</c:v>
                </c:pt>
                <c:pt idx="3">
                  <c:v>110.05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47-F446-96A2-03C09C3456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43"/>
        <c:axId val="627518416"/>
        <c:axId val="1417967759"/>
      </c:barChart>
      <c:catAx>
        <c:axId val="627518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none" spc="0" normalizeH="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GH"/>
          </a:p>
        </c:txPr>
        <c:crossAx val="1417967759"/>
        <c:crosses val="autoZero"/>
        <c:auto val="1"/>
        <c:lblAlgn val="ctr"/>
        <c:lblOffset val="100"/>
        <c:noMultiLvlLbl val="0"/>
      </c:catAx>
      <c:valAx>
        <c:axId val="141796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GB">
                    <a:solidFill>
                      <a:sysClr val="windowText" lastClr="000000"/>
                    </a:solidFill>
                  </a:rPr>
                  <a:t>BWA</a:t>
                </a:r>
                <a:r>
                  <a:rPr lang="en-GB" baseline="0">
                    <a:solidFill>
                      <a:sysClr val="windowText" lastClr="000000"/>
                    </a:solidFill>
                  </a:rPr>
                  <a:t> Data Traffic (Hundreds)</a:t>
                </a:r>
              </a:p>
              <a:p>
                <a:pPr>
                  <a:defRPr>
                    <a:solidFill>
                      <a:sysClr val="windowText" lastClr="000000"/>
                    </a:solidFill>
                  </a:defRPr>
                </a:pPr>
                <a:endParaRPr lang="en-GB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GH"/>
            </a:p>
          </c:txPr>
        </c:title>
        <c:numFmt formatCode="#,##0.0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GH"/>
          </a:p>
        </c:txPr>
        <c:crossAx val="627518416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5400" cap="flat" cmpd="sng" algn="ctr">
      <a:solidFill>
        <a:schemeClr val="accent1"/>
      </a:solidFill>
      <a:round/>
    </a:ln>
    <a:effectLst/>
  </c:spPr>
  <c:txPr>
    <a:bodyPr/>
    <a:lstStyle/>
    <a:p>
      <a:pPr>
        <a:defRPr sz="800" b="1">
          <a:latin typeface="Aptos" panose="020B0004020202020204" pitchFamily="34" charset="0"/>
        </a:defRPr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G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'22. Traffic per BWAs'!$I$2:$M$2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'22. Traffic per BWAs'!$I$5:$M$5</c:f>
              <c:numCache>
                <c:formatCode>#,##0.00</c:formatCode>
                <c:ptCount val="5"/>
                <c:pt idx="0">
                  <c:v>141.622052</c:v>
                </c:pt>
                <c:pt idx="1">
                  <c:v>115.11</c:v>
                </c:pt>
                <c:pt idx="2">
                  <c:v>127.11</c:v>
                </c:pt>
                <c:pt idx="3">
                  <c:v>110.05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51-BC4F-BA91-5F476A9F9E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43"/>
        <c:axId val="1354974735"/>
        <c:axId val="1411132207"/>
      </c:barChart>
      <c:catAx>
        <c:axId val="1354974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none" spc="0" normalizeH="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GH"/>
          </a:p>
        </c:txPr>
        <c:crossAx val="1411132207"/>
        <c:crosses val="autoZero"/>
        <c:auto val="1"/>
        <c:lblAlgn val="ctr"/>
        <c:lblOffset val="100"/>
        <c:noMultiLvlLbl val="0"/>
      </c:catAx>
      <c:valAx>
        <c:axId val="1411132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GB"/>
                  <a:t>BWA Data Traffic (Hundreths)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GH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GH"/>
          </a:p>
        </c:txPr>
        <c:crossAx val="1354974735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5400" cap="flat" cmpd="sng" algn="ctr">
      <a:solidFill>
        <a:schemeClr val="accent1"/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ptos" panose="020B0004020202020204" pitchFamily="34" charset="0"/>
        </a:defRPr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'22. Traffic per BWAs'!$B$3:$B$4</c:f>
              <c:strCache>
                <c:ptCount val="1"/>
                <c:pt idx="0">
                  <c:v>Telesol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star"/>
            <c:size val="7"/>
            <c:spPr>
              <a:noFill/>
              <a:ln w="15875">
                <a:solidFill>
                  <a:schemeClr val="tx1"/>
                </a:solidFill>
                <a:round/>
              </a:ln>
              <a:effectLst/>
            </c:spPr>
          </c:marker>
          <c:dLbls>
            <c:dLbl>
              <c:idx val="0"/>
              <c:layout>
                <c:manualLayout>
                  <c:x val="-6.9444444444444448E-2"/>
                  <c:y val="-5.09259259259259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528-804E-9894-DE61444D516C}"/>
                </c:ext>
              </c:extLst>
            </c:dLbl>
            <c:dLbl>
              <c:idx val="1"/>
              <c:layout>
                <c:manualLayout>
                  <c:x val="-7.2222222222222215E-2"/>
                  <c:y val="-5.09259259259259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528-804E-9894-DE61444D516C}"/>
                </c:ext>
              </c:extLst>
            </c:dLbl>
            <c:dLbl>
              <c:idx val="2"/>
              <c:layout>
                <c:manualLayout>
                  <c:x val="-7.7777777777777779E-2"/>
                  <c:y val="-6.0185185185185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528-804E-9894-DE61444D516C}"/>
                </c:ext>
              </c:extLst>
            </c:dLbl>
            <c:dLbl>
              <c:idx val="3"/>
              <c:layout>
                <c:manualLayout>
                  <c:x val="-5.8333333333333438E-2"/>
                  <c:y val="-5.5555555555555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528-804E-9894-DE61444D516C}"/>
                </c:ext>
              </c:extLst>
            </c:dLbl>
            <c:dLbl>
              <c:idx val="4"/>
              <c:layout>
                <c:manualLayout>
                  <c:x val="-5.1813471502590767E-2"/>
                  <c:y val="-5.55555555555555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FA-4B49-B8B6-495C6A3A7D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G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'22. Traffic per BWAs'!$F$2:$J$2</c:f>
              <c:strCache>
                <c:ptCount val="5"/>
                <c:pt idx="0">
                  <c:v>Q2 2024</c:v>
                </c:pt>
                <c:pt idx="1">
                  <c:v>Q3 2024</c:v>
                </c:pt>
                <c:pt idx="2">
                  <c:v>Q4 2024</c:v>
                </c:pt>
                <c:pt idx="3">
                  <c:v>Q1 2025</c:v>
                </c:pt>
                <c:pt idx="4">
                  <c:v>Q2 2025</c:v>
                </c:pt>
              </c:strCache>
            </c:strRef>
          </c:cat>
          <c:val>
            <c:numRef>
              <c:f>'22. Traffic per BWAs'!$F$4:$J$4</c:f>
              <c:numCache>
                <c:formatCode>0.00%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28-804E-9894-DE61444D51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0577599"/>
        <c:axId val="270980591"/>
      </c:lineChart>
      <c:catAx>
        <c:axId val="270577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none" spc="0" normalizeH="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GH"/>
          </a:p>
        </c:txPr>
        <c:crossAx val="270980591"/>
        <c:crosses val="autoZero"/>
        <c:auto val="1"/>
        <c:lblAlgn val="ctr"/>
        <c:lblOffset val="100"/>
        <c:noMultiLvlLbl val="0"/>
      </c:catAx>
      <c:valAx>
        <c:axId val="270980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GB"/>
                  <a:t>BWA TrafficMarket  Share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GH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GH"/>
          </a:p>
        </c:txPr>
        <c:crossAx val="270577599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G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5400" cap="flat" cmpd="sng" algn="ctr">
      <a:solidFill>
        <a:schemeClr val="accent1">
          <a:lumMod val="7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ptos" panose="020B0004020202020204" pitchFamily="34" charset="0"/>
        </a:defRPr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15924207018257"/>
          <c:y val="4.5868095571118532E-2"/>
          <c:w val="0.7731064176033754"/>
          <c:h val="0.80447505689485033"/>
        </c:manualLayout>
      </c:layout>
      <c:lineChart>
        <c:grouping val="standard"/>
        <c:varyColors val="0"/>
        <c:ser>
          <c:idx val="0"/>
          <c:order val="0"/>
          <c:tx>
            <c:strRef>
              <c:f>'23. Data Usage per BWA'!$B$5</c:f>
              <c:strCache>
                <c:ptCount val="1"/>
                <c:pt idx="0">
                  <c:v>Data Usage per Subscription (TB)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chemeClr val="tx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dLbls>
            <c:dLbl>
              <c:idx val="3"/>
              <c:layout>
                <c:manualLayout>
                  <c:x val="-4.2067376778535413E-2"/>
                  <c:y val="3.61094229245078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EBB-BF47-9518-9F6A80D03B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endParaRPr lang="en-G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'23. Data Usage per BWA'!$H$2:$L$2</c:f>
              <c:strCache>
                <c:ptCount val="5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  <c:pt idx="4">
                  <c:v>Q1 2026</c:v>
                </c:pt>
              </c:strCache>
            </c:strRef>
          </c:cat>
          <c:val>
            <c:numRef>
              <c:f>'23. Data Usage per BWA'!$H$5:$L$5</c:f>
              <c:numCache>
                <c:formatCode>#,##0.000</c:formatCode>
                <c:ptCount val="5"/>
                <c:pt idx="0">
                  <c:v>9.7401686382393396E-2</c:v>
                </c:pt>
                <c:pt idx="1">
                  <c:v>7.9167812929848688E-2</c:v>
                </c:pt>
                <c:pt idx="2">
                  <c:v>8.7420907840440168E-2</c:v>
                </c:pt>
                <c:pt idx="3">
                  <c:v>7.5687757909215961E-2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C0-9440-9807-743648FA4A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7600223"/>
        <c:axId val="1454837039"/>
      </c:lineChart>
      <c:catAx>
        <c:axId val="1607600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none" spc="0" normalizeH="0" baseline="0">
                <a:solidFill>
                  <a:sysClr val="windowText" lastClr="000000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1454837039"/>
        <c:crosses val="autoZero"/>
        <c:auto val="1"/>
        <c:lblAlgn val="ctr"/>
        <c:lblOffset val="100"/>
        <c:noMultiLvlLbl val="0"/>
      </c:catAx>
      <c:valAx>
        <c:axId val="1454837039"/>
        <c:scaling>
          <c:orientation val="minMax"/>
          <c:min val="0.05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+mn-ea"/>
                    <a:cs typeface="+mn-cs"/>
                  </a:defRPr>
                </a:pPr>
                <a:r>
                  <a:rPr lang="en-GB"/>
                  <a:t>BWA Data Usage per Subscriptions (TB)</a:t>
                </a:r>
              </a:p>
            </c:rich>
          </c:tx>
          <c:layout>
            <c:manualLayout>
              <c:xMode val="edge"/>
              <c:yMode val="edge"/>
              <c:x val="3.3030197517927344E-2"/>
              <c:y val="0.174649005273065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ysClr val="windowText" lastClr="000000"/>
                  </a:solidFill>
                  <a:latin typeface="Cambria" panose="02040503050406030204" pitchFamily="18" charset="0"/>
                  <a:ea typeface="+mn-ea"/>
                  <a:cs typeface="+mn-cs"/>
                </a:defRPr>
              </a:pPr>
              <a:endParaRPr lang="en-GH"/>
            </a:p>
          </c:txPr>
        </c:title>
        <c:numFmt formatCode="#,##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GH"/>
          </a:p>
        </c:txPr>
        <c:crossAx val="160760022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ysClr val="windowText" lastClr="000000"/>
              </a:solidFill>
              <a:latin typeface="Cambria" panose="02040503050406030204" pitchFamily="18" charset="0"/>
              <a:ea typeface="+mn-ea"/>
              <a:cs typeface="+mn-cs"/>
            </a:defRPr>
          </a:pPr>
          <a:endParaRPr lang="en-G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5400" cap="flat" cmpd="sng" algn="ctr">
      <a:solidFill>
        <a:schemeClr val="accent1"/>
      </a:solidFill>
      <a:round/>
    </a:ln>
    <a:effectLst/>
  </c:spPr>
  <c:txPr>
    <a:bodyPr/>
    <a:lstStyle/>
    <a:p>
      <a:pPr>
        <a:defRPr sz="800" b="1">
          <a:solidFill>
            <a:sysClr val="windowText" lastClr="000000"/>
          </a:solidFill>
          <a:latin typeface="Cambria" panose="02040503050406030204" pitchFamily="18" charset="0"/>
        </a:defRPr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609600</xdr:colOff>
      <xdr:row>13</xdr:row>
      <xdr:rowOff>12700</xdr:rowOff>
    </xdr:from>
    <xdr:to>
      <xdr:col>10</xdr:col>
      <xdr:colOff>533400</xdr:colOff>
      <xdr:row>28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808226-A611-6FB3-7E00-F8B8AD2468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228600</xdr:colOff>
      <xdr:row>4</xdr:row>
      <xdr:rowOff>19050</xdr:rowOff>
    </xdr:from>
    <xdr:to>
      <xdr:col>18</xdr:col>
      <xdr:colOff>685800</xdr:colOff>
      <xdr:row>18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B9F1B2-F9B0-3D6E-AB2E-A95669340B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412750</xdr:colOff>
      <xdr:row>1</xdr:row>
      <xdr:rowOff>146050</xdr:rowOff>
    </xdr:from>
    <xdr:to>
      <xdr:col>19</xdr:col>
      <xdr:colOff>450850</xdr:colOff>
      <xdr:row>15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EB7744-CF4D-8540-9CEA-01D2E1C91C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800100</xdr:colOff>
      <xdr:row>9</xdr:row>
      <xdr:rowOff>95250</xdr:rowOff>
    </xdr:from>
    <xdr:to>
      <xdr:col>13</xdr:col>
      <xdr:colOff>406400</xdr:colOff>
      <xdr:row>24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765619-7C9B-CD01-1866-D60C3C268D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406400</xdr:colOff>
      <xdr:row>5</xdr:row>
      <xdr:rowOff>171450</xdr:rowOff>
    </xdr:from>
    <xdr:to>
      <xdr:col>20</xdr:col>
      <xdr:colOff>12700</xdr:colOff>
      <xdr:row>21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938FB8-9858-4179-A1AA-AC74A3A5AB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298450</xdr:colOff>
      <xdr:row>12</xdr:row>
      <xdr:rowOff>184150</xdr:rowOff>
    </xdr:from>
    <xdr:to>
      <xdr:col>10</xdr:col>
      <xdr:colOff>38100</xdr:colOff>
      <xdr:row>26</xdr:row>
      <xdr:rowOff>82550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83BA4BE-AD59-F87C-92D4-D7B0BEE0CBFA}"/>
            </a:ext>
            <a:ext uri="{147F2762-F138-4A5C-976F-8EAC2B608ADB}">
              <a16:predDERef xmlns:a16="http://schemas.microsoft.com/office/drawing/2014/main" pred="{BA938FB8-9858-4179-A1AA-AC74A3A5AB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500302</xdr:colOff>
      <xdr:row>10</xdr:row>
      <xdr:rowOff>128283</xdr:rowOff>
    </xdr:from>
    <xdr:to>
      <xdr:col>11</xdr:col>
      <xdr:colOff>218081</xdr:colOff>
      <xdr:row>27</xdr:row>
      <xdr:rowOff>115456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F5202A-47A8-4115-7493-0B94072353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finkp-123\share\share\DOCUME~1\basit.m\LOCALS~1\Temp\Documents%20and%20Settings\ather.s\Local%20Settings\Temporary%20Internet%20Files\OLK175\OA%20Add%20Jan-Mar%20200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JOSHUA%20PEPRAH\Local%20Settings\Temporary%20Internet%20Files\Content.Outlook\OPQRPSS4\ICC\Thailand\LMM3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&amp;F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ModelSettings"/>
      <sheetName val="Capital Equipment items"/>
      <sheetName val="Current account items"/>
      <sheetName val="Depreciation Periods"/>
      <sheetName val="Operating costs"/>
      <sheetName val="Annualisation"/>
      <sheetName val="Annual dep + ROCE unit costs"/>
      <sheetName val="Annual opex unit costs"/>
      <sheetName val="Annual dep + Roce total"/>
      <sheetName val="Annual opex total"/>
      <sheetName val="CostsYear-5"/>
      <sheetName val="CostsYear-4"/>
      <sheetName val="CostsYear-3"/>
      <sheetName val="CostsYear-2"/>
      <sheetName val="CostsYear-1"/>
      <sheetName val="CostsYear1"/>
      <sheetName val="CostsYear2"/>
      <sheetName val="CostsYear3"/>
      <sheetName val="CostsYear4"/>
      <sheetName val="CostsYear5"/>
      <sheetName val="CostsYear6"/>
      <sheetName val="CostsYear7"/>
      <sheetName val="CostsYear8"/>
      <sheetName val="CostsYear9"/>
      <sheetName val="CostsYear10"/>
      <sheetName val="TotalCostByYear_old"/>
      <sheetName val="TotalCostByYear"/>
      <sheetName val="DriverValues"/>
      <sheetName val="DriverMatrix"/>
      <sheetName val="CPcompYrMinus5"/>
      <sheetName val="CPcompYrMinus4"/>
      <sheetName val="CPcompYrMinus3"/>
      <sheetName val="CPcompYrMinus2"/>
      <sheetName val="CPcompYrMinus1"/>
      <sheetName val="CPcompYr1"/>
      <sheetName val="CPcompYr2"/>
      <sheetName val="CPcompYr3"/>
      <sheetName val="CPcompYr4"/>
      <sheetName val="CPcompYr5"/>
      <sheetName val="CPcompYr6"/>
      <sheetName val="CPcompYr7"/>
      <sheetName val="CPcompYr8"/>
      <sheetName val="CPcompYr9"/>
      <sheetName val="CPcompYr10"/>
      <sheetName val="CostPools"/>
      <sheetName val="MOURouting"/>
      <sheetName val="AllocFactors"/>
      <sheetName val="UnitCosts"/>
      <sheetName val="Services"/>
      <sheetName val="FillRanges"/>
      <sheetName val="OldServices"/>
    </sheetNames>
    <sheetDataSet>
      <sheetData sheetId="0" refreshError="1"/>
      <sheetData sheetId="1" refreshError="1">
        <row r="8">
          <cell r="C8">
            <v>2001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FB037-6220-3448-8CDB-D15B527A2861}">
  <sheetPr codeName="Sheet3"/>
  <dimension ref="B2:L11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L6" sqref="L6"/>
    </sheetView>
  </sheetViews>
  <sheetFormatPr defaultColWidth="11" defaultRowHeight="15.5"/>
  <cols>
    <col min="1" max="1" width="5" customWidth="1"/>
    <col min="2" max="2" width="20.83203125" customWidth="1"/>
    <col min="3" max="4" width="11.83203125" customWidth="1"/>
    <col min="5" max="7" width="9.83203125" bestFit="1" customWidth="1"/>
    <col min="8" max="8" width="11.1640625" bestFit="1" customWidth="1"/>
  </cols>
  <sheetData>
    <row r="2" spans="2:12">
      <c r="B2" s="5" t="s">
        <v>16</v>
      </c>
      <c r="C2" s="5" t="s">
        <v>7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0</v>
      </c>
      <c r="I2" s="5" t="s">
        <v>1</v>
      </c>
      <c r="J2" s="5" t="s">
        <v>31</v>
      </c>
      <c r="K2" s="5" t="s">
        <v>14</v>
      </c>
      <c r="L2" s="5" t="s">
        <v>33</v>
      </c>
    </row>
    <row r="3" spans="2:12" ht="22" customHeight="1">
      <c r="B3" s="1" t="s">
        <v>17</v>
      </c>
      <c r="C3" s="2">
        <v>1431</v>
      </c>
      <c r="D3" s="2">
        <v>1431</v>
      </c>
      <c r="E3" s="2">
        <v>1431</v>
      </c>
      <c r="F3" s="6">
        <v>1454</v>
      </c>
      <c r="G3" s="6">
        <v>1454</v>
      </c>
      <c r="H3" s="6">
        <v>1454</v>
      </c>
      <c r="I3" s="6">
        <v>1454</v>
      </c>
      <c r="J3" s="6">
        <v>1454</v>
      </c>
      <c r="K3" s="6">
        <v>1454</v>
      </c>
      <c r="L3" s="6">
        <v>1454</v>
      </c>
    </row>
    <row r="4" spans="2:12" ht="18" customHeight="1">
      <c r="B4" s="1" t="s">
        <v>18</v>
      </c>
      <c r="C4" s="4">
        <v>7.7000000000000002E-3</v>
      </c>
      <c r="D4" s="4">
        <v>0</v>
      </c>
      <c r="E4" s="4">
        <v>0</v>
      </c>
      <c r="F4" s="12">
        <v>1.61E-2</v>
      </c>
      <c r="G4" s="12">
        <v>0</v>
      </c>
      <c r="H4" s="12">
        <v>0</v>
      </c>
      <c r="I4" s="32">
        <f>(I3/H3-1)</f>
        <v>0</v>
      </c>
      <c r="J4" s="32">
        <f t="shared" ref="J4:K4" si="0">(J3/I3-1)</f>
        <v>0</v>
      </c>
      <c r="K4" s="32">
        <f t="shared" si="0"/>
        <v>0</v>
      </c>
      <c r="L4" s="12">
        <v>0</v>
      </c>
    </row>
    <row r="5" spans="2:12" ht="20" customHeight="1">
      <c r="B5" s="1" t="s">
        <v>15</v>
      </c>
      <c r="C5" s="3">
        <v>11</v>
      </c>
      <c r="D5" s="3">
        <v>0</v>
      </c>
      <c r="E5" s="3">
        <v>0</v>
      </c>
      <c r="F5" s="15">
        <v>23</v>
      </c>
      <c r="G5" s="15">
        <v>0</v>
      </c>
      <c r="H5" s="19">
        <v>0</v>
      </c>
      <c r="I5" s="33">
        <f>I3-H3</f>
        <v>0</v>
      </c>
      <c r="J5" s="33">
        <f t="shared" ref="J5:K5" si="1">J3-I3</f>
        <v>0</v>
      </c>
      <c r="K5" s="33">
        <f t="shared" si="1"/>
        <v>0</v>
      </c>
      <c r="L5" s="19">
        <v>0</v>
      </c>
    </row>
    <row r="6" spans="2:12" ht="20" customHeight="1">
      <c r="B6" s="1" t="s">
        <v>8</v>
      </c>
      <c r="C6" s="2">
        <v>32429591</v>
      </c>
      <c r="D6" s="2">
        <v>32594648</v>
      </c>
      <c r="E6" s="2">
        <v>32759699</v>
      </c>
      <c r="F6" s="2">
        <v>32924755</v>
      </c>
      <c r="G6" s="2">
        <v>33089811</v>
      </c>
      <c r="H6" s="2">
        <v>33254867.455426469</v>
      </c>
      <c r="I6" s="2">
        <f>H6+H8</f>
        <v>33419923.910852939</v>
      </c>
      <c r="J6" s="2">
        <v>33584979.588049464</v>
      </c>
      <c r="K6" s="2">
        <v>33750035.654360972</v>
      </c>
      <c r="L6" s="2">
        <v>33915092</v>
      </c>
    </row>
    <row r="7" spans="2:12" ht="22" customHeight="1">
      <c r="B7" s="11" t="s">
        <v>9</v>
      </c>
      <c r="C7" s="20">
        <v>4.0000000000000003E-5</v>
      </c>
      <c r="D7" s="20">
        <v>4.0000000000000003E-5</v>
      </c>
      <c r="E7" s="20">
        <v>4.0000000000000003E-5</v>
      </c>
      <c r="F7" s="20">
        <v>4.0000000000000003E-5</v>
      </c>
      <c r="G7" s="20">
        <v>4.0000000000000003E-5</v>
      </c>
      <c r="H7" s="20">
        <f>H3/H6</f>
        <v>4.3722922725489284E-5</v>
      </c>
      <c r="I7" s="20">
        <f>I3/I6</f>
        <v>4.3506981161253372E-5</v>
      </c>
      <c r="J7" s="20">
        <f t="shared" ref="J7:K7" si="2">J3/J6</f>
        <v>4.3293163129310834E-5</v>
      </c>
      <c r="K7" s="20">
        <f t="shared" si="2"/>
        <v>4.3081435969153502E-5</v>
      </c>
      <c r="L7" s="20">
        <f>L3/L6</f>
        <v>4.2871769299638048E-5</v>
      </c>
    </row>
    <row r="8" spans="2:12">
      <c r="G8" s="34">
        <f>G6-F6</f>
        <v>165056</v>
      </c>
      <c r="H8" s="34">
        <f>H6-G6</f>
        <v>165056.45542646945</v>
      </c>
      <c r="L8" s="34">
        <f>L6-K6</f>
        <v>165056.34563902766</v>
      </c>
    </row>
    <row r="10" spans="2:12">
      <c r="B10" s="27" t="s">
        <v>19</v>
      </c>
      <c r="C10" s="13"/>
      <c r="D10" s="21">
        <f t="shared" ref="D10:I10" si="3">D3/C3-1</f>
        <v>0</v>
      </c>
      <c r="E10" s="21">
        <f t="shared" si="3"/>
        <v>0</v>
      </c>
      <c r="F10" s="21">
        <f t="shared" si="3"/>
        <v>1.6072676450034962E-2</v>
      </c>
      <c r="G10" s="21">
        <f t="shared" si="3"/>
        <v>0</v>
      </c>
      <c r="H10" s="21">
        <f t="shared" si="3"/>
        <v>0</v>
      </c>
      <c r="I10" s="21">
        <f t="shared" si="3"/>
        <v>0</v>
      </c>
      <c r="J10" s="21">
        <f t="shared" ref="J10" si="4">J3/I3-1</f>
        <v>0</v>
      </c>
      <c r="K10" s="21">
        <f t="shared" ref="K10:L10" si="5">K3/J3-1</f>
        <v>0</v>
      </c>
      <c r="L10" s="21">
        <f t="shared" si="5"/>
        <v>0</v>
      </c>
    </row>
    <row r="11" spans="2:12">
      <c r="B11" s="28" t="s">
        <v>20</v>
      </c>
      <c r="C11" s="13"/>
      <c r="D11" s="26"/>
      <c r="E11" s="26"/>
      <c r="F11" s="26"/>
      <c r="G11" s="21">
        <f t="shared" ref="G11:L11" si="6">G3/C3-1</f>
        <v>1.6072676450034962E-2</v>
      </c>
      <c r="H11" s="21">
        <f t="shared" si="6"/>
        <v>1.6072676450034962E-2</v>
      </c>
      <c r="I11" s="21">
        <f t="shared" si="6"/>
        <v>1.6072676450034962E-2</v>
      </c>
      <c r="J11" s="21">
        <f t="shared" si="6"/>
        <v>0</v>
      </c>
      <c r="K11" s="21">
        <f t="shared" si="6"/>
        <v>0</v>
      </c>
      <c r="L11" s="21">
        <f t="shared" si="6"/>
        <v>0</v>
      </c>
    </row>
  </sheetData>
  <phoneticPr fontId="7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AB3F7-FDD0-E644-9DAE-3AD2E5E69DAD}">
  <sheetPr codeName="Sheet4"/>
  <dimension ref="A2:L5"/>
  <sheetViews>
    <sheetView workbookViewId="0">
      <pane xSplit="2" ySplit="2" topLeftCell="F3" activePane="bottomRight" state="frozen"/>
      <selection pane="topRight" activeCell="C1" sqref="C1"/>
      <selection pane="bottomLeft" activeCell="A3" sqref="A3"/>
      <selection pane="bottomRight" activeCell="U13" sqref="U13"/>
    </sheetView>
  </sheetViews>
  <sheetFormatPr defaultColWidth="11" defaultRowHeight="15.5"/>
  <cols>
    <col min="1" max="1" width="16.5" customWidth="1"/>
    <col min="2" max="2" width="26" customWidth="1"/>
  </cols>
  <sheetData>
    <row r="2" spans="1:12" ht="22" customHeight="1">
      <c r="A2" s="5" t="s">
        <v>16</v>
      </c>
      <c r="B2" s="16" t="s">
        <v>21</v>
      </c>
      <c r="C2" s="5" t="s">
        <v>7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0</v>
      </c>
      <c r="I2" s="5" t="s">
        <v>1</v>
      </c>
      <c r="J2" s="5" t="s">
        <v>31</v>
      </c>
      <c r="K2" s="5" t="s">
        <v>14</v>
      </c>
      <c r="L2" s="5" t="s">
        <v>33</v>
      </c>
    </row>
    <row r="3" spans="1:12">
      <c r="A3" s="36" t="s">
        <v>22</v>
      </c>
      <c r="B3" s="3" t="s">
        <v>13</v>
      </c>
      <c r="C3" s="2">
        <v>1431</v>
      </c>
      <c r="D3" s="2">
        <v>1431</v>
      </c>
      <c r="E3" s="2">
        <v>1431</v>
      </c>
      <c r="F3" s="2">
        <v>1454</v>
      </c>
      <c r="G3" s="2">
        <v>1454</v>
      </c>
      <c r="H3" s="2">
        <v>1454</v>
      </c>
      <c r="I3" s="2">
        <v>1454</v>
      </c>
      <c r="J3" s="2">
        <v>1454</v>
      </c>
      <c r="K3" s="2">
        <v>1454</v>
      </c>
      <c r="L3" s="2">
        <v>1454</v>
      </c>
    </row>
    <row r="4" spans="1:12">
      <c r="A4" s="36"/>
      <c r="B4" s="3" t="s">
        <v>23</v>
      </c>
      <c r="C4" s="4">
        <v>1</v>
      </c>
      <c r="D4" s="4">
        <v>1</v>
      </c>
      <c r="E4" s="14">
        <v>1</v>
      </c>
      <c r="F4" s="14">
        <v>1</v>
      </c>
      <c r="G4" s="14">
        <v>1</v>
      </c>
      <c r="H4" s="14">
        <v>1</v>
      </c>
      <c r="I4" s="14">
        <f>I3/I5</f>
        <v>1</v>
      </c>
      <c r="J4" s="14">
        <f>J3/J5</f>
        <v>1</v>
      </c>
      <c r="K4" s="14">
        <f>K3/K5</f>
        <v>1</v>
      </c>
      <c r="L4" s="14">
        <f>L3/L5</f>
        <v>1</v>
      </c>
    </row>
    <row r="5" spans="1:12">
      <c r="A5" s="35" t="s">
        <v>24</v>
      </c>
      <c r="B5" s="35"/>
      <c r="C5" s="9">
        <v>1431</v>
      </c>
      <c r="D5" s="9">
        <v>1431</v>
      </c>
      <c r="E5" s="9">
        <v>1431</v>
      </c>
      <c r="F5" s="9">
        <v>1454</v>
      </c>
      <c r="G5" s="9">
        <v>1454</v>
      </c>
      <c r="H5" s="9">
        <v>1454</v>
      </c>
      <c r="I5" s="9">
        <v>1454</v>
      </c>
      <c r="J5" s="9">
        <v>1454</v>
      </c>
      <c r="K5" s="9">
        <v>1454</v>
      </c>
      <c r="L5" s="9">
        <v>1454</v>
      </c>
    </row>
  </sheetData>
  <mergeCells count="2">
    <mergeCell ref="A3:A4"/>
    <mergeCell ref="A5:B5"/>
  </mergeCells>
  <phoneticPr fontId="7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428EA-008E-134D-925C-A036F00C8D48}">
  <sheetPr codeName="Sheet5"/>
  <dimension ref="A2:L5"/>
  <sheetViews>
    <sheetView workbookViewId="0">
      <pane xSplit="2" ySplit="2" topLeftCell="D3" activePane="bottomRight" state="frozen"/>
      <selection pane="topRight" activeCell="C1" sqref="C1"/>
      <selection pane="bottomLeft" activeCell="A3" sqref="A3"/>
      <selection pane="bottomRight" activeCell="K21" sqref="K21"/>
    </sheetView>
  </sheetViews>
  <sheetFormatPr defaultColWidth="11" defaultRowHeight="15.5"/>
  <cols>
    <col min="1" max="1" width="16.5" customWidth="1"/>
    <col min="2" max="2" width="26" customWidth="1"/>
  </cols>
  <sheetData>
    <row r="2" spans="1:12" ht="22" customHeight="1">
      <c r="A2" s="5" t="s">
        <v>16</v>
      </c>
      <c r="B2" s="16" t="s">
        <v>21</v>
      </c>
      <c r="C2" s="5" t="s">
        <v>7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0</v>
      </c>
      <c r="I2" s="5" t="s">
        <v>1</v>
      </c>
      <c r="J2" s="5" t="s">
        <v>31</v>
      </c>
      <c r="K2" s="5" t="s">
        <v>14</v>
      </c>
      <c r="L2" s="5" t="s">
        <v>33</v>
      </c>
    </row>
    <row r="3" spans="1:12">
      <c r="A3" s="36" t="s">
        <v>22</v>
      </c>
      <c r="B3" s="3" t="s">
        <v>13</v>
      </c>
      <c r="C3" s="2">
        <v>1431</v>
      </c>
      <c r="D3" s="2">
        <v>1431</v>
      </c>
      <c r="E3" s="2">
        <v>1431</v>
      </c>
      <c r="F3" s="2">
        <v>1454</v>
      </c>
      <c r="G3" s="2">
        <v>1454</v>
      </c>
      <c r="H3" s="2">
        <v>1454</v>
      </c>
      <c r="I3" s="2">
        <v>1454</v>
      </c>
      <c r="J3" s="2">
        <v>1454</v>
      </c>
      <c r="K3" s="2">
        <v>1454</v>
      </c>
      <c r="L3" s="2">
        <v>1454</v>
      </c>
    </row>
    <row r="4" spans="1:12">
      <c r="A4" s="36"/>
      <c r="B4" s="3" t="s">
        <v>23</v>
      </c>
      <c r="C4" s="4">
        <v>1</v>
      </c>
      <c r="D4" s="4">
        <v>1</v>
      </c>
      <c r="E4" s="14">
        <v>1</v>
      </c>
      <c r="F4" s="14">
        <v>1</v>
      </c>
      <c r="G4" s="14">
        <v>1</v>
      </c>
      <c r="H4" s="14">
        <v>1</v>
      </c>
      <c r="I4" s="14">
        <f>I3/I5</f>
        <v>1</v>
      </c>
      <c r="J4" s="14">
        <f>J3/J5</f>
        <v>1</v>
      </c>
      <c r="K4" s="14">
        <f>K3/K5</f>
        <v>1</v>
      </c>
      <c r="L4" s="14">
        <v>2</v>
      </c>
    </row>
    <row r="5" spans="1:12">
      <c r="A5" s="35" t="s">
        <v>24</v>
      </c>
      <c r="B5" s="35"/>
      <c r="C5" s="9">
        <v>1431</v>
      </c>
      <c r="D5" s="9">
        <v>1431</v>
      </c>
      <c r="E5" s="9">
        <v>1431</v>
      </c>
      <c r="F5" s="9">
        <v>1454</v>
      </c>
      <c r="G5" s="9">
        <v>1454</v>
      </c>
      <c r="H5" s="9">
        <v>1454</v>
      </c>
      <c r="I5" s="9">
        <v>1454</v>
      </c>
      <c r="J5" s="9">
        <v>1454</v>
      </c>
      <c r="K5" s="9">
        <v>1454</v>
      </c>
      <c r="L5" s="9">
        <v>1454</v>
      </c>
    </row>
  </sheetData>
  <mergeCells count="2">
    <mergeCell ref="A3:A4"/>
    <mergeCell ref="A5:B5"/>
  </mergeCells>
  <phoneticPr fontId="7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FEA98-D9BD-B643-B9F0-4CBB59934910}">
  <sheetPr codeName="Sheet6"/>
  <dimension ref="B1:L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P31" sqref="P31"/>
    </sheetView>
  </sheetViews>
  <sheetFormatPr defaultColWidth="11" defaultRowHeight="15.5"/>
  <cols>
    <col min="1" max="1" width="7.83203125" customWidth="1"/>
    <col min="2" max="2" width="20.33203125" customWidth="1"/>
    <col min="8" max="8" width="13" customWidth="1"/>
    <col min="11" max="11" width="12.5" customWidth="1"/>
  </cols>
  <sheetData>
    <row r="1" spans="2:12">
      <c r="G1" s="10">
        <v>157201473</v>
      </c>
    </row>
    <row r="2" spans="2:12" ht="21" customHeight="1">
      <c r="B2" s="8" t="s">
        <v>25</v>
      </c>
      <c r="C2" s="5" t="s">
        <v>7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0</v>
      </c>
      <c r="I2" s="5" t="s">
        <v>1</v>
      </c>
      <c r="J2" s="5" t="s">
        <v>31</v>
      </c>
      <c r="K2" s="5" t="s">
        <v>14</v>
      </c>
      <c r="L2" s="5" t="s">
        <v>33</v>
      </c>
    </row>
    <row r="3" spans="2:12" ht="21" customHeight="1">
      <c r="B3" s="8" t="s">
        <v>26</v>
      </c>
      <c r="C3" s="23">
        <f>257225394/1000000</f>
        <v>257.22539399999999</v>
      </c>
      <c r="D3" s="23">
        <f>152982518/1000000</f>
        <v>152.982518</v>
      </c>
      <c r="E3" s="23">
        <f>235167488/1000000</f>
        <v>235.16748799999999</v>
      </c>
      <c r="F3" s="23">
        <f>203757131/1000000</f>
        <v>203.75713099999999</v>
      </c>
      <c r="G3" s="23">
        <f>170490993/1000000</f>
        <v>170.490993</v>
      </c>
      <c r="H3" s="23">
        <f>141622052/1000000</f>
        <v>141.622052</v>
      </c>
      <c r="I3" s="23">
        <v>115.11</v>
      </c>
      <c r="J3" s="23">
        <v>127.11</v>
      </c>
      <c r="K3" s="23">
        <v>110.05</v>
      </c>
      <c r="L3" s="23"/>
    </row>
    <row r="4" spans="2:12">
      <c r="G4" s="10"/>
    </row>
    <row r="5" spans="2:12">
      <c r="C5" s="5" t="s">
        <v>7</v>
      </c>
      <c r="D5" s="5" t="s">
        <v>3</v>
      </c>
      <c r="E5" s="5" t="s">
        <v>4</v>
      </c>
      <c r="F5" s="5" t="s">
        <v>5</v>
      </c>
      <c r="G5" s="5" t="s">
        <v>6</v>
      </c>
      <c r="H5" s="5" t="s">
        <v>0</v>
      </c>
      <c r="I5" s="5" t="s">
        <v>1</v>
      </c>
      <c r="J5" s="5" t="s">
        <v>31</v>
      </c>
      <c r="K5" s="5" t="s">
        <v>14</v>
      </c>
      <c r="L5" s="5" t="s">
        <v>33</v>
      </c>
    </row>
    <row r="6" spans="2:12">
      <c r="B6" s="27" t="s">
        <v>27</v>
      </c>
      <c r="C6" s="13"/>
      <c r="D6" s="25">
        <f t="shared" ref="D6:H6" si="0">D3/C3-1</f>
        <v>-0.40525888357663475</v>
      </c>
      <c r="E6" s="25">
        <f t="shared" si="0"/>
        <v>0.53721804997352707</v>
      </c>
      <c r="F6" s="25">
        <f t="shared" si="0"/>
        <v>-0.13356589921137396</v>
      </c>
      <c r="G6" s="25">
        <f t="shared" si="0"/>
        <v>-0.16326367492875615</v>
      </c>
      <c r="H6" s="25">
        <f t="shared" si="0"/>
        <v>-0.16932824715262229</v>
      </c>
      <c r="I6" s="25">
        <f>I3/H3-1</f>
        <v>-0.18720285171408191</v>
      </c>
      <c r="J6" s="25">
        <f>J3/I3-1</f>
        <v>0.10424811050299709</v>
      </c>
      <c r="K6" s="25">
        <f>K3/J3-1</f>
        <v>-0.13421445991660763</v>
      </c>
      <c r="L6" s="25">
        <f t="shared" ref="L6" si="1">L3/K3-1</f>
        <v>-1</v>
      </c>
    </row>
    <row r="7" spans="2:12">
      <c r="B7" s="28" t="s">
        <v>28</v>
      </c>
      <c r="C7" s="13"/>
      <c r="D7" s="25"/>
      <c r="E7" s="25"/>
      <c r="F7" s="25"/>
      <c r="G7" s="25">
        <f t="shared" ref="G7:H7" si="2">G3/C3-1</f>
        <v>-0.33719221749933448</v>
      </c>
      <c r="H7" s="25">
        <f t="shared" si="2"/>
        <v>-7.4259896807294057E-2</v>
      </c>
      <c r="I7" s="25">
        <f>I3/E3-1</f>
        <v>-0.5105190731126914</v>
      </c>
      <c r="J7" s="25">
        <f>J3/F3-1</f>
        <v>-0.37616907258082655</v>
      </c>
      <c r="K7" s="25">
        <f>K3/G3-1</f>
        <v>-0.35451135533007305</v>
      </c>
      <c r="L7" s="25">
        <f t="shared" ref="L7" si="3">L3/H3-1</f>
        <v>-1</v>
      </c>
    </row>
  </sheetData>
  <phoneticPr fontId="7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71930-7ADF-FC40-9497-4AF99B059FD9}">
  <sheetPr codeName="Sheet7"/>
  <dimension ref="B2:M9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L23" sqref="L23"/>
    </sheetView>
  </sheetViews>
  <sheetFormatPr defaultColWidth="11" defaultRowHeight="15.5"/>
  <cols>
    <col min="1" max="1" width="8.33203125" customWidth="1"/>
    <col min="2" max="2" width="14.6640625" customWidth="1"/>
    <col min="3" max="3" width="20.83203125" customWidth="1"/>
    <col min="5" max="5" width="12.1640625" customWidth="1"/>
    <col min="6" max="6" width="13.83203125" customWidth="1"/>
    <col min="7" max="7" width="14.33203125" customWidth="1"/>
    <col min="8" max="8" width="12.83203125" customWidth="1"/>
    <col min="10" max="10" width="11.5" customWidth="1"/>
  </cols>
  <sheetData>
    <row r="2" spans="2:13" ht="20" customHeight="1">
      <c r="B2" s="5" t="s">
        <v>16</v>
      </c>
      <c r="C2" s="17"/>
      <c r="D2" s="5" t="s">
        <v>7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0</v>
      </c>
      <c r="J2" s="5" t="s">
        <v>1</v>
      </c>
      <c r="K2" s="5" t="s">
        <v>31</v>
      </c>
      <c r="L2" s="5" t="s">
        <v>14</v>
      </c>
      <c r="M2" s="5" t="s">
        <v>33</v>
      </c>
    </row>
    <row r="3" spans="2:13" ht="20" customHeight="1">
      <c r="B3" s="37" t="s">
        <v>22</v>
      </c>
      <c r="C3" s="3" t="s">
        <v>29</v>
      </c>
      <c r="D3" s="23">
        <f>257225394/1000000</f>
        <v>257.22539399999999</v>
      </c>
      <c r="E3" s="23">
        <f>152982518/1000000</f>
        <v>152.982518</v>
      </c>
      <c r="F3" s="23">
        <f>235167488/1000000</f>
        <v>235.16748799999999</v>
      </c>
      <c r="G3" s="23">
        <f>203757131/1000000</f>
        <v>203.75713099999999</v>
      </c>
      <c r="H3" s="23">
        <f>170490993/1000000</f>
        <v>170.490993</v>
      </c>
      <c r="I3" s="29">
        <f>141622052/1000000</f>
        <v>141.622052</v>
      </c>
      <c r="J3" s="29">
        <v>115.11</v>
      </c>
      <c r="K3" s="29">
        <v>127.11</v>
      </c>
      <c r="L3" s="29">
        <v>110.05</v>
      </c>
      <c r="M3" s="29"/>
    </row>
    <row r="4" spans="2:13" ht="20" customHeight="1">
      <c r="B4" s="37"/>
      <c r="C4" s="3" t="s">
        <v>12</v>
      </c>
      <c r="D4" s="4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</row>
    <row r="5" spans="2:13" ht="20" customHeight="1">
      <c r="B5" s="35" t="s">
        <v>26</v>
      </c>
      <c r="C5" s="35"/>
      <c r="D5" s="22">
        <f>257225394/1000000</f>
        <v>257.22539399999999</v>
      </c>
      <c r="E5" s="22">
        <f>152982518/1000000</f>
        <v>152.982518</v>
      </c>
      <c r="F5" s="22">
        <f>235167488/1000000</f>
        <v>235.16748799999999</v>
      </c>
      <c r="G5" s="22">
        <f>203757131/1000000</f>
        <v>203.75713099999999</v>
      </c>
      <c r="H5" s="22">
        <f>170490993/1000000</f>
        <v>170.490993</v>
      </c>
      <c r="I5" s="22">
        <f>141622052/1000000</f>
        <v>141.622052</v>
      </c>
      <c r="J5" s="22">
        <v>115.11</v>
      </c>
      <c r="K5" s="22">
        <v>127.11</v>
      </c>
      <c r="L5" s="22">
        <v>110.05</v>
      </c>
      <c r="M5" s="22"/>
    </row>
    <row r="7" spans="2:13">
      <c r="D7" s="5" t="s">
        <v>7</v>
      </c>
      <c r="E7" s="5" t="s">
        <v>3</v>
      </c>
      <c r="F7" s="5" t="s">
        <v>4</v>
      </c>
      <c r="G7" s="5" t="s">
        <v>5</v>
      </c>
      <c r="H7" s="5" t="s">
        <v>6</v>
      </c>
      <c r="I7" s="5" t="s">
        <v>0</v>
      </c>
      <c r="J7" s="5" t="s">
        <v>1</v>
      </c>
      <c r="K7" s="5" t="s">
        <v>31</v>
      </c>
      <c r="L7" s="5" t="s">
        <v>14</v>
      </c>
      <c r="M7" s="5" t="s">
        <v>33</v>
      </c>
    </row>
    <row r="8" spans="2:13" ht="19" customHeight="1">
      <c r="B8" s="38" t="s">
        <v>27</v>
      </c>
      <c r="C8" s="38"/>
      <c r="D8" s="26"/>
      <c r="E8" s="18">
        <f t="shared" ref="E8:I8" si="0">E5/D5-1</f>
        <v>-0.40525888357663475</v>
      </c>
      <c r="F8" s="18">
        <f t="shared" si="0"/>
        <v>0.53721804997352707</v>
      </c>
      <c r="G8" s="18">
        <f t="shared" si="0"/>
        <v>-0.13356589921137396</v>
      </c>
      <c r="H8" s="18">
        <f t="shared" si="0"/>
        <v>-0.16326367492875615</v>
      </c>
      <c r="I8" s="18">
        <f t="shared" si="0"/>
        <v>-0.16932824715262229</v>
      </c>
      <c r="J8" s="18">
        <f>J5/I5-1</f>
        <v>-0.18720285171408191</v>
      </c>
      <c r="K8" s="18">
        <f t="shared" ref="K8:M8" si="1">K5/J5-1</f>
        <v>0.10424811050299709</v>
      </c>
      <c r="L8" s="18">
        <f t="shared" si="1"/>
        <v>-0.13421445991660763</v>
      </c>
      <c r="M8" s="18">
        <f t="shared" si="1"/>
        <v>-1</v>
      </c>
    </row>
    <row r="9" spans="2:13">
      <c r="B9" s="39" t="s">
        <v>28</v>
      </c>
      <c r="C9" s="39"/>
      <c r="D9" s="26"/>
      <c r="E9" s="26"/>
      <c r="F9" s="26"/>
      <c r="G9" s="26"/>
      <c r="H9" s="18">
        <f>H5/D5-1</f>
        <v>-0.33719221749933448</v>
      </c>
      <c r="I9" s="18">
        <f>I5/E5-1</f>
        <v>-7.4259896807294057E-2</v>
      </c>
      <c r="J9" s="18">
        <f>J5/F5-1</f>
        <v>-0.5105190731126914</v>
      </c>
      <c r="K9" s="18">
        <f t="shared" ref="K9:L9" si="2">K5/G5-1</f>
        <v>-0.37616907258082655</v>
      </c>
      <c r="L9" s="18">
        <f t="shared" si="2"/>
        <v>-0.35451135533007305</v>
      </c>
      <c r="M9" s="18">
        <f>M5/I5-1</f>
        <v>-1</v>
      </c>
    </row>
  </sheetData>
  <mergeCells count="4">
    <mergeCell ref="B5:C5"/>
    <mergeCell ref="B3:B4"/>
    <mergeCell ref="B8:C8"/>
    <mergeCell ref="B9:C9"/>
  </mergeCells>
  <phoneticPr fontId="7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5D613-E712-5544-B89A-DEE5DA82A222}">
  <sheetPr codeName="Sheet8"/>
  <dimension ref="B2:L9"/>
  <sheetViews>
    <sheetView zoomScale="99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L4" sqref="L4"/>
    </sheetView>
  </sheetViews>
  <sheetFormatPr defaultColWidth="11" defaultRowHeight="15.5"/>
  <cols>
    <col min="1" max="1" width="6.5" customWidth="1"/>
    <col min="2" max="2" width="28.5" customWidth="1"/>
    <col min="3" max="7" width="10.83203125" bestFit="1" customWidth="1"/>
  </cols>
  <sheetData>
    <row r="2" spans="2:12" ht="24" customHeight="1">
      <c r="B2" s="5" t="s">
        <v>16</v>
      </c>
      <c r="C2" s="5" t="s">
        <v>7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0</v>
      </c>
      <c r="I2" s="5" t="s">
        <v>1</v>
      </c>
      <c r="J2" s="5" t="s">
        <v>31</v>
      </c>
      <c r="K2" s="5" t="s">
        <v>14</v>
      </c>
      <c r="L2" s="5" t="s">
        <v>33</v>
      </c>
    </row>
    <row r="3" spans="2:12">
      <c r="B3" s="1" t="s">
        <v>32</v>
      </c>
      <c r="C3" s="2">
        <f>257225394/1000000</f>
        <v>257.22539399999999</v>
      </c>
      <c r="D3" s="2">
        <f>152982518/1000000</f>
        <v>152.982518</v>
      </c>
      <c r="E3" s="2">
        <f>235167488/1000000</f>
        <v>235.16748799999999</v>
      </c>
      <c r="F3" s="2">
        <f>203757131/1000000</f>
        <v>203.75713099999999</v>
      </c>
      <c r="G3" s="2">
        <f>170490993/1000000</f>
        <v>170.490993</v>
      </c>
      <c r="H3" s="29">
        <f>141622052/1000000</f>
        <v>141.622052</v>
      </c>
      <c r="I3" s="29">
        <v>115.11</v>
      </c>
      <c r="J3" s="29">
        <v>127.11</v>
      </c>
      <c r="K3" s="29">
        <v>110.05</v>
      </c>
      <c r="L3" s="29"/>
    </row>
    <row r="4" spans="2:12">
      <c r="B4" s="1" t="s">
        <v>30</v>
      </c>
      <c r="C4" s="2">
        <v>1428</v>
      </c>
      <c r="D4" s="3">
        <v>954</v>
      </c>
      <c r="E4" s="2">
        <v>1431</v>
      </c>
      <c r="F4" s="3">
        <v>1454</v>
      </c>
      <c r="G4" s="2">
        <v>1454</v>
      </c>
      <c r="H4" s="2">
        <v>1454</v>
      </c>
      <c r="I4" s="2">
        <v>1454</v>
      </c>
      <c r="J4" s="2">
        <v>1454</v>
      </c>
      <c r="K4" s="2">
        <v>1454</v>
      </c>
      <c r="L4" s="2"/>
    </row>
    <row r="5" spans="2:12" ht="20" customHeight="1">
      <c r="B5" s="11" t="s">
        <v>2</v>
      </c>
      <c r="C5" s="24">
        <f t="shared" ref="C5:I5" si="0">C3/C4</f>
        <v>0.18012982773109243</v>
      </c>
      <c r="D5" s="24">
        <f t="shared" si="0"/>
        <v>0.16035903354297693</v>
      </c>
      <c r="E5" s="24">
        <f t="shared" si="0"/>
        <v>0.16433786722571628</v>
      </c>
      <c r="F5" s="24">
        <f t="shared" si="0"/>
        <v>0.14013557840440163</v>
      </c>
      <c r="G5" s="24">
        <f t="shared" si="0"/>
        <v>0.11725652888583218</v>
      </c>
      <c r="H5" s="24">
        <f t="shared" si="0"/>
        <v>9.7401686382393396E-2</v>
      </c>
      <c r="I5" s="24">
        <f t="shared" si="0"/>
        <v>7.9167812929848688E-2</v>
      </c>
      <c r="J5" s="24">
        <f t="shared" ref="J5:L5" si="1">J3/J4</f>
        <v>8.7420907840440168E-2</v>
      </c>
      <c r="K5" s="24">
        <f t="shared" si="1"/>
        <v>7.5687757909215961E-2</v>
      </c>
      <c r="L5" s="24" t="e">
        <f t="shared" si="1"/>
        <v>#DIV/0!</v>
      </c>
    </row>
    <row r="7" spans="2:12" ht="19" customHeight="1">
      <c r="C7" s="5" t="s">
        <v>7</v>
      </c>
      <c r="D7" s="5" t="s">
        <v>3</v>
      </c>
      <c r="E7" s="5" t="s">
        <v>4</v>
      </c>
      <c r="F7" s="5" t="s">
        <v>5</v>
      </c>
      <c r="G7" s="5" t="s">
        <v>6</v>
      </c>
      <c r="H7" s="5" t="s">
        <v>0</v>
      </c>
      <c r="I7" s="5" t="s">
        <v>1</v>
      </c>
      <c r="J7" s="5" t="s">
        <v>31</v>
      </c>
      <c r="K7" s="5" t="s">
        <v>14</v>
      </c>
      <c r="L7" s="5" t="s">
        <v>33</v>
      </c>
    </row>
    <row r="8" spans="2:12" ht="19" customHeight="1">
      <c r="B8" s="30" t="s">
        <v>10</v>
      </c>
      <c r="C8" s="19"/>
      <c r="D8" s="18">
        <f t="shared" ref="D8:H8" si="2">D5/C5-1</f>
        <v>-0.10975858044804454</v>
      </c>
      <c r="E8" s="18">
        <f t="shared" si="2"/>
        <v>2.4812033315684712E-2</v>
      </c>
      <c r="F8" s="18">
        <f t="shared" si="2"/>
        <v>-0.14727152804090526</v>
      </c>
      <c r="G8" s="18">
        <f t="shared" si="2"/>
        <v>-0.16326367492875615</v>
      </c>
      <c r="H8" s="18">
        <f t="shared" si="2"/>
        <v>-0.16932824715262229</v>
      </c>
      <c r="I8" s="18">
        <f>I5/H5-1</f>
        <v>-0.18720285171408202</v>
      </c>
      <c r="J8" s="18">
        <f t="shared" ref="J8:L8" si="3">J5/I5-1</f>
        <v>0.10424811050299732</v>
      </c>
      <c r="K8" s="18">
        <f t="shared" si="3"/>
        <v>-0.13421445991660763</v>
      </c>
      <c r="L8" s="18" t="e">
        <f t="shared" si="3"/>
        <v>#DIV/0!</v>
      </c>
    </row>
    <row r="9" spans="2:12" ht="19" customHeight="1">
      <c r="B9" s="31" t="s">
        <v>11</v>
      </c>
      <c r="C9" s="19"/>
      <c r="D9" s="7"/>
      <c r="E9" s="7"/>
      <c r="F9" s="7"/>
      <c r="G9" s="18">
        <f>G5/C5-1</f>
        <v>-0.34904435116165722</v>
      </c>
      <c r="H9" s="18">
        <f>H5/D5-1</f>
        <v>-0.39260243573188336</v>
      </c>
      <c r="I9" s="18">
        <f>I5/E5-1</f>
        <v>-0.51826189382686483</v>
      </c>
      <c r="J9" s="18">
        <f t="shared" ref="J9:K9" si="4">J5/F5-1</f>
        <v>-0.37616907258082655</v>
      </c>
      <c r="K9" s="18">
        <f t="shared" si="4"/>
        <v>-0.35451135533007305</v>
      </c>
      <c r="L9" s="18" t="e">
        <f>L5/H5-1</f>
        <v>#DIV/0!</v>
      </c>
    </row>
  </sheetData>
  <phoneticPr fontId="7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4B9E4FD312C947A2C718E5981839D6" ma:contentTypeVersion="3" ma:contentTypeDescription="Create a new document." ma:contentTypeScope="" ma:versionID="23845c1b148026a5e114e0a0c9be1f52">
  <xsd:schema xmlns:xsd="http://www.w3.org/2001/XMLSchema" xmlns:xs="http://www.w3.org/2001/XMLSchema" xmlns:p="http://schemas.microsoft.com/office/2006/metadata/properties" xmlns:ns2="b0e8765c-fed2-48b7-8cad-38ae77f33819" targetNamespace="http://schemas.microsoft.com/office/2006/metadata/properties" ma:root="true" ma:fieldsID="949c91f3ac1c4a523b9bf51188c68690" ns2:_="">
    <xsd:import namespace="b0e8765c-fed2-48b7-8cad-38ae77f338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e8765c-fed2-48b7-8cad-38ae77f338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D15F3F0-FE9D-4F73-8EA1-4AE11FF0A0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e8765c-fed2-48b7-8cad-38ae77f338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F24F796-A280-4C6B-82EB-72F4A8B9FB6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2A3DA7F-33A4-4491-853B-82A84AE11BF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19. BWA Subs and Penetration</vt:lpstr>
      <vt:lpstr>20. BWA Subs per Operator</vt:lpstr>
      <vt:lpstr>BWA Subs per Operator (2)</vt:lpstr>
      <vt:lpstr>Ta21. BBand Vol of Int. Traffic</vt:lpstr>
      <vt:lpstr>22. Traffic per BWAs</vt:lpstr>
      <vt:lpstr>23. Data Usage per BWA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William L.B Mensah Dodoo</dc:creator>
  <cp:keywords/>
  <dc:description/>
  <cp:lastModifiedBy>Dodzi Lithur</cp:lastModifiedBy>
  <cp:revision/>
  <dcterms:created xsi:type="dcterms:W3CDTF">2025-05-19T14:36:35Z</dcterms:created>
  <dcterms:modified xsi:type="dcterms:W3CDTF">2026-05-13T12:26:31Z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0x010100FA4B9E4FD312C947A2C718E5981839D6</vt:lpwstr>
  </property>
</Properties>
</file>