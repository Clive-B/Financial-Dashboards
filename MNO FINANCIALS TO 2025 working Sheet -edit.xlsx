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quartey\OneDrive - Government of Ghana - NCA\Desktop\"/>
    </mc:Choice>
  </mc:AlternateContent>
  <bookViews>
    <workbookView xWindow="0" yWindow="0" windowWidth="25125" windowHeight="12315" activeTab="8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9" l="1"/>
  <c r="D22" i="9"/>
  <c r="C22" i="8"/>
  <c r="D22" i="8"/>
  <c r="C22" i="7"/>
  <c r="D22" i="7"/>
  <c r="C21" i="6"/>
  <c r="D21" i="6"/>
  <c r="C21" i="5"/>
  <c r="D21" i="5"/>
  <c r="C21" i="4"/>
  <c r="D21" i="4"/>
  <c r="C21" i="3"/>
  <c r="D21" i="3"/>
  <c r="C21" i="2"/>
  <c r="D21" i="2"/>
  <c r="C21" i="1"/>
  <c r="D21" i="1"/>
  <c r="B21" i="1"/>
  <c r="B21" i="2"/>
  <c r="B21" i="3"/>
  <c r="B21" i="4"/>
  <c r="B21" i="5"/>
  <c r="B21" i="6"/>
  <c r="B22" i="7"/>
  <c r="B22" i="8"/>
  <c r="B22" i="9"/>
  <c r="D23" i="9" l="1"/>
  <c r="E21" i="9"/>
  <c r="E20" i="9"/>
  <c r="E19" i="9"/>
  <c r="E18" i="9"/>
  <c r="E17" i="9"/>
  <c r="B17" i="9"/>
  <c r="F17" i="9" s="1"/>
  <c r="H16" i="9"/>
  <c r="F16" i="9"/>
  <c r="E16" i="9"/>
  <c r="G16" i="9" s="1"/>
  <c r="H15" i="9"/>
  <c r="E15" i="9"/>
  <c r="B14" i="9"/>
  <c r="E13" i="9"/>
  <c r="E12" i="9"/>
  <c r="E11" i="9"/>
  <c r="E9" i="9"/>
  <c r="B8" i="9"/>
  <c r="E7" i="9"/>
  <c r="B6" i="9"/>
  <c r="E5" i="9"/>
  <c r="E4" i="9"/>
  <c r="G3" i="9"/>
  <c r="F3" i="9"/>
  <c r="E3" i="9"/>
  <c r="H3" i="9" s="1"/>
  <c r="D23" i="8"/>
  <c r="C23" i="8"/>
  <c r="E21" i="8"/>
  <c r="E20" i="8"/>
  <c r="E19" i="8"/>
  <c r="E18" i="8"/>
  <c r="B17" i="8"/>
  <c r="E16" i="8"/>
  <c r="E15" i="8"/>
  <c r="B14" i="8"/>
  <c r="E13" i="8"/>
  <c r="E12" i="8"/>
  <c r="E11" i="8"/>
  <c r="C10" i="8"/>
  <c r="B10" i="8"/>
  <c r="E9" i="8"/>
  <c r="B8" i="8"/>
  <c r="E7" i="8"/>
  <c r="B6" i="8"/>
  <c r="E5" i="8"/>
  <c r="E4" i="8"/>
  <c r="E3" i="8"/>
  <c r="C23" i="7"/>
  <c r="D21" i="7"/>
  <c r="C21" i="7"/>
  <c r="B21" i="7"/>
  <c r="E20" i="7"/>
  <c r="E19" i="7"/>
  <c r="E18" i="7"/>
  <c r="D17" i="7"/>
  <c r="B17" i="7"/>
  <c r="E16" i="7"/>
  <c r="E15" i="7"/>
  <c r="D14" i="7"/>
  <c r="B14" i="7"/>
  <c r="H13" i="7"/>
  <c r="E13" i="7"/>
  <c r="E12" i="7"/>
  <c r="E11" i="7"/>
  <c r="D10" i="7"/>
  <c r="H10" i="7" s="1"/>
  <c r="C10" i="7"/>
  <c r="G10" i="7" s="1"/>
  <c r="B10" i="7"/>
  <c r="E9" i="7"/>
  <c r="H8" i="7"/>
  <c r="G8" i="7"/>
  <c r="E7" i="7"/>
  <c r="B6" i="7"/>
  <c r="E5" i="7"/>
  <c r="E4" i="7"/>
  <c r="E3" i="7"/>
  <c r="D20" i="6"/>
  <c r="C20" i="6"/>
  <c r="B20" i="6"/>
  <c r="E19" i="6"/>
  <c r="E18" i="6"/>
  <c r="G17" i="6"/>
  <c r="E17" i="6"/>
  <c r="C16" i="6"/>
  <c r="E15" i="6"/>
  <c r="E14" i="6"/>
  <c r="C13" i="6"/>
  <c r="E12" i="6"/>
  <c r="H11" i="6"/>
  <c r="E11" i="6"/>
  <c r="E10" i="6"/>
  <c r="D9" i="6"/>
  <c r="C9" i="6"/>
  <c r="B9" i="6"/>
  <c r="E8" i="6"/>
  <c r="E7" i="6"/>
  <c r="D7" i="6"/>
  <c r="H7" i="6" s="1"/>
  <c r="D6" i="6"/>
  <c r="C6" i="6"/>
  <c r="B6" i="6"/>
  <c r="E5" i="6"/>
  <c r="E4" i="6"/>
  <c r="F3" i="6"/>
  <c r="E3" i="6"/>
  <c r="D20" i="5"/>
  <c r="C20" i="5"/>
  <c r="B20" i="5"/>
  <c r="E19" i="5"/>
  <c r="E18" i="5"/>
  <c r="E17" i="5"/>
  <c r="B16" i="5"/>
  <c r="E15" i="5"/>
  <c r="E14" i="5"/>
  <c r="B13" i="5"/>
  <c r="E12" i="5"/>
  <c r="E11" i="5"/>
  <c r="E10" i="5"/>
  <c r="D9" i="5"/>
  <c r="C9" i="5"/>
  <c r="B9" i="5"/>
  <c r="E8" i="5"/>
  <c r="D7" i="5"/>
  <c r="D6" i="5"/>
  <c r="C6" i="5"/>
  <c r="B6" i="5"/>
  <c r="E5" i="5"/>
  <c r="E4" i="5"/>
  <c r="E3" i="5"/>
  <c r="D23" i="4"/>
  <c r="D20" i="4"/>
  <c r="C20" i="4"/>
  <c r="B20" i="4"/>
  <c r="E19" i="4"/>
  <c r="E18" i="4"/>
  <c r="E17" i="4"/>
  <c r="B16" i="4"/>
  <c r="E15" i="4"/>
  <c r="E14" i="4"/>
  <c r="B13" i="4"/>
  <c r="H12" i="4"/>
  <c r="E12" i="4"/>
  <c r="E11" i="4"/>
  <c r="E10" i="4"/>
  <c r="D9" i="4"/>
  <c r="C9" i="4"/>
  <c r="B9" i="4"/>
  <c r="E8" i="4"/>
  <c r="D7" i="4"/>
  <c r="C7" i="4"/>
  <c r="D6" i="4"/>
  <c r="C6" i="4"/>
  <c r="B6" i="4"/>
  <c r="E6" i="4" s="1"/>
  <c r="F6" i="4" s="1"/>
  <c r="E5" i="4"/>
  <c r="E4" i="4"/>
  <c r="E3" i="4"/>
  <c r="D20" i="3"/>
  <c r="C20" i="3"/>
  <c r="B20" i="3"/>
  <c r="E19" i="3"/>
  <c r="E18" i="3"/>
  <c r="E17" i="3"/>
  <c r="E16" i="3"/>
  <c r="E15" i="3"/>
  <c r="E14" i="3"/>
  <c r="E13" i="3"/>
  <c r="H12" i="3"/>
  <c r="G12" i="3"/>
  <c r="E12" i="3"/>
  <c r="F12" i="3" s="1"/>
  <c r="E11" i="3"/>
  <c r="E10" i="3"/>
  <c r="D9" i="3"/>
  <c r="C9" i="3"/>
  <c r="B9" i="3"/>
  <c r="E8" i="3"/>
  <c r="C7" i="3"/>
  <c r="D6" i="3"/>
  <c r="C6" i="3"/>
  <c r="E5" i="3"/>
  <c r="E4" i="3"/>
  <c r="E3" i="3"/>
  <c r="E20" i="2"/>
  <c r="D20" i="2"/>
  <c r="H20" i="2" s="1"/>
  <c r="C20" i="2"/>
  <c r="G20" i="2" s="1"/>
  <c r="B20" i="2"/>
  <c r="F20" i="2" s="1"/>
  <c r="E19" i="2"/>
  <c r="E18" i="2"/>
  <c r="E17" i="2"/>
  <c r="D16" i="2"/>
  <c r="E15" i="2"/>
  <c r="E14" i="2"/>
  <c r="D13" i="2"/>
  <c r="E12" i="2"/>
  <c r="E11" i="2"/>
  <c r="E10" i="2"/>
  <c r="D9" i="2"/>
  <c r="C9" i="2"/>
  <c r="B9" i="2"/>
  <c r="E8" i="2"/>
  <c r="C7" i="2"/>
  <c r="E6" i="2"/>
  <c r="C6" i="2"/>
  <c r="G6" i="2" s="1"/>
  <c r="E5" i="2"/>
  <c r="E4" i="2"/>
  <c r="E3" i="2"/>
  <c r="E3" i="1"/>
  <c r="F3" i="1"/>
  <c r="G3" i="1"/>
  <c r="H3" i="1"/>
  <c r="E4" i="1"/>
  <c r="F4" i="1"/>
  <c r="G4" i="1"/>
  <c r="H4" i="1"/>
  <c r="E5" i="1"/>
  <c r="F5" i="1"/>
  <c r="G5" i="1"/>
  <c r="H5" i="1"/>
  <c r="C6" i="1"/>
  <c r="E6" i="1"/>
  <c r="F6" i="1"/>
  <c r="G6" i="1"/>
  <c r="H6" i="1"/>
  <c r="C7" i="1"/>
  <c r="E7" i="1"/>
  <c r="F7" i="1"/>
  <c r="G7" i="1"/>
  <c r="H7" i="1"/>
  <c r="E8" i="1"/>
  <c r="F8" i="1"/>
  <c r="G8" i="1"/>
  <c r="H8" i="1"/>
  <c r="B9" i="1"/>
  <c r="C9" i="1"/>
  <c r="D9" i="1"/>
  <c r="E10" i="1"/>
  <c r="E11" i="1"/>
  <c r="F11" i="1"/>
  <c r="G11" i="1"/>
  <c r="H11" i="1"/>
  <c r="E12" i="1"/>
  <c r="F12" i="1"/>
  <c r="G12" i="1"/>
  <c r="H12" i="1"/>
  <c r="D13" i="1"/>
  <c r="E13" i="1"/>
  <c r="F13" i="1"/>
  <c r="G13" i="1"/>
  <c r="H13" i="1"/>
  <c r="E14" i="1"/>
  <c r="G14" i="1"/>
  <c r="H14" i="1"/>
  <c r="E15" i="1"/>
  <c r="G15" i="1"/>
  <c r="H15" i="1"/>
  <c r="D16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B20" i="1"/>
  <c r="C20" i="1"/>
  <c r="E20" i="1"/>
  <c r="F20" i="1"/>
  <c r="G20" i="1"/>
  <c r="H20" i="1"/>
  <c r="E21" i="1"/>
  <c r="H21" i="1" s="1"/>
  <c r="G21" i="1"/>
  <c r="B22" i="1"/>
  <c r="C22" i="1"/>
  <c r="D22" i="1"/>
  <c r="I193" i="1"/>
  <c r="F21" i="1" l="1"/>
  <c r="E22" i="1"/>
  <c r="H21" i="9"/>
  <c r="F21" i="9"/>
  <c r="G21" i="9"/>
  <c r="H20" i="9"/>
  <c r="F20" i="9"/>
  <c r="G20" i="9"/>
  <c r="F19" i="9"/>
  <c r="H19" i="9"/>
  <c r="G19" i="9"/>
  <c r="F18" i="9"/>
  <c r="H18" i="9"/>
  <c r="G18" i="9"/>
  <c r="G17" i="9"/>
  <c r="H17" i="9"/>
  <c r="G15" i="9"/>
  <c r="F15" i="9"/>
  <c r="E14" i="9"/>
  <c r="F14" i="9" s="1"/>
  <c r="F13" i="9"/>
  <c r="G13" i="9"/>
  <c r="H13" i="9"/>
  <c r="F12" i="9"/>
  <c r="H12" i="9"/>
  <c r="G12" i="9"/>
  <c r="G11" i="9"/>
  <c r="H11" i="9"/>
  <c r="F11" i="9"/>
  <c r="F9" i="9"/>
  <c r="G9" i="9"/>
  <c r="H9" i="9"/>
  <c r="H7" i="9"/>
  <c r="F7" i="9"/>
  <c r="G7" i="9"/>
  <c r="E6" i="9"/>
  <c r="F6" i="9" s="1"/>
  <c r="H5" i="9"/>
  <c r="F5" i="9"/>
  <c r="G5" i="9"/>
  <c r="G4" i="9"/>
  <c r="F4" i="9"/>
  <c r="H4" i="9"/>
  <c r="G21" i="8"/>
  <c r="F21" i="8"/>
  <c r="H21" i="8"/>
  <c r="F20" i="8"/>
  <c r="G20" i="8"/>
  <c r="H20" i="8"/>
  <c r="G19" i="8"/>
  <c r="F19" i="8"/>
  <c r="H19" i="8"/>
  <c r="G18" i="8"/>
  <c r="F18" i="8"/>
  <c r="H18" i="8"/>
  <c r="E17" i="8"/>
  <c r="F17" i="8"/>
  <c r="G16" i="8"/>
  <c r="H16" i="8"/>
  <c r="F16" i="8"/>
  <c r="H15" i="8"/>
  <c r="F15" i="8"/>
  <c r="G15" i="8"/>
  <c r="E14" i="8"/>
  <c r="F14" i="8"/>
  <c r="H13" i="8"/>
  <c r="G13" i="8"/>
  <c r="F13" i="8"/>
  <c r="G12" i="8"/>
  <c r="H12" i="8"/>
  <c r="F12" i="8"/>
  <c r="H11" i="8"/>
  <c r="F11" i="8"/>
  <c r="G11" i="8"/>
  <c r="H9" i="8"/>
  <c r="F9" i="8"/>
  <c r="G9" i="8"/>
  <c r="F7" i="8"/>
  <c r="H7" i="8"/>
  <c r="G7" i="8"/>
  <c r="E6" i="8"/>
  <c r="F6" i="8" s="1"/>
  <c r="F5" i="8"/>
  <c r="H5" i="8"/>
  <c r="G5" i="8"/>
  <c r="H4" i="8"/>
  <c r="G4" i="8"/>
  <c r="F4" i="8"/>
  <c r="H3" i="8"/>
  <c r="G3" i="8"/>
  <c r="F3" i="8"/>
  <c r="E21" i="7"/>
  <c r="F21" i="7" s="1"/>
  <c r="G20" i="7"/>
  <c r="F20" i="7"/>
  <c r="H20" i="7"/>
  <c r="G19" i="7"/>
  <c r="F19" i="7"/>
  <c r="H19" i="7"/>
  <c r="G18" i="7"/>
  <c r="H18" i="7"/>
  <c r="F18" i="7"/>
  <c r="E17" i="7"/>
  <c r="F17" i="7" s="1"/>
  <c r="G16" i="7"/>
  <c r="F16" i="7"/>
  <c r="H16" i="7"/>
  <c r="H15" i="7"/>
  <c r="G15" i="7"/>
  <c r="F15" i="7"/>
  <c r="E14" i="7"/>
  <c r="F13" i="7"/>
  <c r="G13" i="7"/>
  <c r="G12" i="7"/>
  <c r="F12" i="7"/>
  <c r="H12" i="7"/>
  <c r="H11" i="7"/>
  <c r="G11" i="7"/>
  <c r="F11" i="7"/>
  <c r="F9" i="7"/>
  <c r="G9" i="7"/>
  <c r="H9" i="7"/>
  <c r="F7" i="7"/>
  <c r="G7" i="7"/>
  <c r="H7" i="7"/>
  <c r="E6" i="7"/>
  <c r="F6" i="7" s="1"/>
  <c r="F5" i="7"/>
  <c r="H5" i="7"/>
  <c r="G5" i="7"/>
  <c r="F4" i="7"/>
  <c r="H4" i="7"/>
  <c r="G4" i="7"/>
  <c r="H3" i="7"/>
  <c r="F3" i="7"/>
  <c r="G3" i="7"/>
  <c r="D22" i="6"/>
  <c r="B22" i="6"/>
  <c r="E20" i="6"/>
  <c r="F20" i="6" s="1"/>
  <c r="H19" i="6"/>
  <c r="F19" i="6"/>
  <c r="G19" i="6"/>
  <c r="F18" i="6"/>
  <c r="G18" i="6"/>
  <c r="H18" i="6"/>
  <c r="F17" i="6"/>
  <c r="H17" i="6"/>
  <c r="E16" i="6"/>
  <c r="G16" i="6"/>
  <c r="H15" i="6"/>
  <c r="G15" i="6"/>
  <c r="F15" i="6"/>
  <c r="H14" i="6"/>
  <c r="G14" i="6"/>
  <c r="F14" i="6"/>
  <c r="E13" i="6"/>
  <c r="G13" i="6" s="1"/>
  <c r="F12" i="6"/>
  <c r="H12" i="6"/>
  <c r="G12" i="6"/>
  <c r="F11" i="6"/>
  <c r="G11" i="6"/>
  <c r="F10" i="6"/>
  <c r="H10" i="6"/>
  <c r="G10" i="6"/>
  <c r="F8" i="6"/>
  <c r="H8" i="6"/>
  <c r="G8" i="6"/>
  <c r="F7" i="6"/>
  <c r="G7" i="6"/>
  <c r="E6" i="6"/>
  <c r="F6" i="6" s="1"/>
  <c r="H5" i="6"/>
  <c r="G5" i="6"/>
  <c r="F5" i="6"/>
  <c r="H4" i="6"/>
  <c r="F4" i="6"/>
  <c r="G4" i="6"/>
  <c r="G3" i="6"/>
  <c r="H3" i="6"/>
  <c r="D22" i="5"/>
  <c r="C22" i="5"/>
  <c r="E20" i="5"/>
  <c r="F20" i="5" s="1"/>
  <c r="H19" i="5"/>
  <c r="G19" i="5"/>
  <c r="F19" i="5"/>
  <c r="G18" i="5"/>
  <c r="H18" i="5"/>
  <c r="F18" i="5"/>
  <c r="G17" i="5"/>
  <c r="H17" i="5"/>
  <c r="F17" i="5"/>
  <c r="E16" i="5"/>
  <c r="F16" i="5" s="1"/>
  <c r="H15" i="5"/>
  <c r="F15" i="5"/>
  <c r="G15" i="5"/>
  <c r="H14" i="5"/>
  <c r="F14" i="5"/>
  <c r="G14" i="5"/>
  <c r="E13" i="5"/>
  <c r="F13" i="5" s="1"/>
  <c r="F12" i="5"/>
  <c r="H12" i="5"/>
  <c r="G12" i="5"/>
  <c r="F11" i="5"/>
  <c r="G11" i="5"/>
  <c r="H11" i="5"/>
  <c r="H10" i="5"/>
  <c r="F10" i="5"/>
  <c r="G10" i="5"/>
  <c r="F8" i="5"/>
  <c r="H8" i="5"/>
  <c r="G8" i="5"/>
  <c r="E7" i="5"/>
  <c r="H7" i="5" s="1"/>
  <c r="E6" i="5"/>
  <c r="F6" i="5" s="1"/>
  <c r="F5" i="5"/>
  <c r="G5" i="5"/>
  <c r="H5" i="5"/>
  <c r="F4" i="5"/>
  <c r="H4" i="5"/>
  <c r="G4" i="5"/>
  <c r="F3" i="5"/>
  <c r="G3" i="5"/>
  <c r="H3" i="5"/>
  <c r="D22" i="4"/>
  <c r="C22" i="4"/>
  <c r="E20" i="4"/>
  <c r="F20" i="4" s="1"/>
  <c r="G19" i="4"/>
  <c r="F19" i="4"/>
  <c r="H19" i="4"/>
  <c r="H18" i="4"/>
  <c r="G18" i="4"/>
  <c r="F18" i="4"/>
  <c r="G17" i="4"/>
  <c r="H17" i="4"/>
  <c r="F17" i="4"/>
  <c r="E16" i="4"/>
  <c r="F16" i="4" s="1"/>
  <c r="G15" i="4"/>
  <c r="F15" i="4"/>
  <c r="H15" i="4"/>
  <c r="F14" i="4"/>
  <c r="H14" i="4"/>
  <c r="G14" i="4"/>
  <c r="E13" i="4"/>
  <c r="F13" i="4"/>
  <c r="F12" i="4"/>
  <c r="G12" i="4"/>
  <c r="F11" i="4"/>
  <c r="G11" i="4"/>
  <c r="H11" i="4"/>
  <c r="F10" i="4"/>
  <c r="G10" i="4"/>
  <c r="H10" i="4"/>
  <c r="F8" i="4"/>
  <c r="G8" i="4"/>
  <c r="H8" i="4"/>
  <c r="E7" i="4"/>
  <c r="G7" i="4"/>
  <c r="G5" i="4"/>
  <c r="H5" i="4"/>
  <c r="F5" i="4"/>
  <c r="G4" i="4"/>
  <c r="F4" i="4"/>
  <c r="H4" i="4"/>
  <c r="G3" i="4"/>
  <c r="H3" i="4"/>
  <c r="F3" i="4"/>
  <c r="H6" i="4"/>
  <c r="G6" i="4"/>
  <c r="D22" i="3"/>
  <c r="C22" i="3"/>
  <c r="E21" i="3"/>
  <c r="F21" i="3" s="1"/>
  <c r="B22" i="3"/>
  <c r="E20" i="3"/>
  <c r="F20" i="3" s="1"/>
  <c r="F19" i="3"/>
  <c r="G19" i="3"/>
  <c r="H19" i="3"/>
  <c r="H18" i="3"/>
  <c r="G18" i="3"/>
  <c r="F18" i="3"/>
  <c r="H17" i="3"/>
  <c r="F17" i="3"/>
  <c r="G17" i="3"/>
  <c r="H16" i="3"/>
  <c r="G16" i="3"/>
  <c r="F16" i="3"/>
  <c r="G15" i="3"/>
  <c r="H15" i="3"/>
  <c r="F15" i="3"/>
  <c r="H14" i="3"/>
  <c r="F14" i="3"/>
  <c r="G14" i="3"/>
  <c r="G13" i="3"/>
  <c r="F13" i="3"/>
  <c r="H13" i="3"/>
  <c r="F11" i="3"/>
  <c r="G11" i="3"/>
  <c r="H11" i="3"/>
  <c r="F10" i="3"/>
  <c r="G10" i="3"/>
  <c r="H10" i="3"/>
  <c r="F8" i="3"/>
  <c r="G8" i="3"/>
  <c r="H8" i="3"/>
  <c r="E7" i="3"/>
  <c r="G7" i="3"/>
  <c r="E6" i="3"/>
  <c r="G6" i="3" s="1"/>
  <c r="H5" i="3"/>
  <c r="G5" i="3"/>
  <c r="F5" i="3"/>
  <c r="G4" i="3"/>
  <c r="F4" i="3"/>
  <c r="H4" i="3"/>
  <c r="F3" i="3"/>
  <c r="G3" i="3"/>
  <c r="H3" i="3"/>
  <c r="C22" i="2"/>
  <c r="B22" i="2"/>
  <c r="E21" i="2"/>
  <c r="G19" i="2"/>
  <c r="H19" i="2"/>
  <c r="F19" i="2"/>
  <c r="H18" i="2"/>
  <c r="G18" i="2"/>
  <c r="F18" i="2"/>
  <c r="F17" i="2"/>
  <c r="G17" i="2"/>
  <c r="H17" i="2"/>
  <c r="E16" i="2"/>
  <c r="H16" i="2"/>
  <c r="G15" i="2"/>
  <c r="H15" i="2"/>
  <c r="G14" i="2"/>
  <c r="H14" i="2"/>
  <c r="E13" i="2"/>
  <c r="H13" i="2" s="1"/>
  <c r="G12" i="2"/>
  <c r="H12" i="2"/>
  <c r="F12" i="2"/>
  <c r="F11" i="2"/>
  <c r="H11" i="2"/>
  <c r="G11" i="2"/>
  <c r="H8" i="2"/>
  <c r="G8" i="2"/>
  <c r="F8" i="2"/>
  <c r="G7" i="2"/>
  <c r="E7" i="2"/>
  <c r="F6" i="2"/>
  <c r="H6" i="2"/>
  <c r="G5" i="2"/>
  <c r="F5" i="2"/>
  <c r="H5" i="2"/>
  <c r="F4" i="2"/>
  <c r="G4" i="2"/>
  <c r="H4" i="2"/>
  <c r="G3" i="2"/>
  <c r="F3" i="2"/>
  <c r="H3" i="2"/>
  <c r="F22" i="1" l="1"/>
  <c r="H22" i="1"/>
  <c r="G22" i="1"/>
  <c r="H14" i="9"/>
  <c r="G14" i="9"/>
  <c r="E22" i="9"/>
  <c r="F22" i="9" s="1"/>
  <c r="H6" i="9"/>
  <c r="G6" i="9"/>
  <c r="H17" i="8"/>
  <c r="G17" i="8"/>
  <c r="H14" i="8"/>
  <c r="G14" i="8"/>
  <c r="B23" i="8"/>
  <c r="E22" i="8"/>
  <c r="F22" i="8" s="1"/>
  <c r="G6" i="8"/>
  <c r="H6" i="8"/>
  <c r="G21" i="7"/>
  <c r="H21" i="7"/>
  <c r="H17" i="7"/>
  <c r="G17" i="7"/>
  <c r="D23" i="7"/>
  <c r="E22" i="7"/>
  <c r="H22" i="7" s="1"/>
  <c r="B23" i="7"/>
  <c r="F22" i="7"/>
  <c r="H6" i="7"/>
  <c r="G6" i="7"/>
  <c r="G14" i="7"/>
  <c r="F14" i="7"/>
  <c r="H14" i="7"/>
  <c r="H20" i="6"/>
  <c r="G20" i="6"/>
  <c r="H16" i="6"/>
  <c r="F16" i="6"/>
  <c r="H13" i="6"/>
  <c r="F13" i="6"/>
  <c r="C22" i="6"/>
  <c r="E21" i="6"/>
  <c r="H21" i="6" s="1"/>
  <c r="G6" i="6"/>
  <c r="H6" i="6"/>
  <c r="G20" i="5"/>
  <c r="H20" i="5"/>
  <c r="H16" i="5"/>
  <c r="G16" i="5"/>
  <c r="G13" i="5"/>
  <c r="H13" i="5"/>
  <c r="E21" i="5"/>
  <c r="F21" i="5" s="1"/>
  <c r="B22" i="5"/>
  <c r="F7" i="5"/>
  <c r="G7" i="5"/>
  <c r="G6" i="5"/>
  <c r="H6" i="5"/>
  <c r="G20" i="4"/>
  <c r="H20" i="4"/>
  <c r="G16" i="4"/>
  <c r="H16" i="4"/>
  <c r="G13" i="4"/>
  <c r="H13" i="4"/>
  <c r="E21" i="4"/>
  <c r="F21" i="4" s="1"/>
  <c r="B22" i="4"/>
  <c r="H7" i="4"/>
  <c r="F7" i="4"/>
  <c r="G20" i="3"/>
  <c r="H20" i="3"/>
  <c r="F7" i="3"/>
  <c r="H7" i="3"/>
  <c r="H6" i="3"/>
  <c r="F6" i="3"/>
  <c r="E22" i="3"/>
  <c r="F22" i="3" s="1"/>
  <c r="H21" i="3"/>
  <c r="G21" i="3"/>
  <c r="F16" i="2"/>
  <c r="G16" i="2"/>
  <c r="F13" i="2"/>
  <c r="G13" i="2"/>
  <c r="H21" i="2"/>
  <c r="D22" i="2"/>
  <c r="H7" i="2"/>
  <c r="F7" i="2"/>
  <c r="E22" i="2"/>
  <c r="G21" i="2"/>
  <c r="F21" i="2"/>
  <c r="G22" i="2" l="1"/>
  <c r="E23" i="9"/>
  <c r="H22" i="9"/>
  <c r="G22" i="9"/>
  <c r="G22" i="8"/>
  <c r="H22" i="8"/>
  <c r="E23" i="8"/>
  <c r="G22" i="7"/>
  <c r="E23" i="7"/>
  <c r="F21" i="6"/>
  <c r="G21" i="6"/>
  <c r="E22" i="6"/>
  <c r="H21" i="5"/>
  <c r="G21" i="5"/>
  <c r="E22" i="5"/>
  <c r="H21" i="4"/>
  <c r="G21" i="4"/>
  <c r="E22" i="4"/>
  <c r="H22" i="3"/>
  <c r="G22" i="3"/>
  <c r="F22" i="2"/>
  <c r="H22" i="2"/>
  <c r="G23" i="9" l="1"/>
  <c r="F23" i="9"/>
  <c r="H23" i="9"/>
  <c r="F23" i="8"/>
  <c r="H23" i="8"/>
  <c r="G23" i="8"/>
  <c r="F23" i="7"/>
  <c r="H23" i="7"/>
  <c r="G23" i="7"/>
  <c r="H22" i="6"/>
  <c r="G22" i="6"/>
  <c r="F22" i="6"/>
  <c r="F22" i="5"/>
  <c r="G22" i="5"/>
  <c r="H22" i="5"/>
  <c r="F22" i="4"/>
  <c r="G22" i="4"/>
  <c r="H22" i="4"/>
</calcChain>
</file>

<file path=xl/sharedStrings.xml><?xml version="1.0" encoding="utf-8"?>
<sst xmlns="http://schemas.openxmlformats.org/spreadsheetml/2006/main" count="282" uniqueCount="48">
  <si>
    <t>INDUSTRY INDEX FOR 2018</t>
  </si>
  <si>
    <t>Key Indicators /Year</t>
  </si>
  <si>
    <t>MTN</t>
  </si>
  <si>
    <t>AT</t>
  </si>
  <si>
    <t>TOTAL</t>
  </si>
  <si>
    <t>REVENUE</t>
  </si>
  <si>
    <t>EXPENDITURE</t>
  </si>
  <si>
    <t>COST OF SALES</t>
  </si>
  <si>
    <t>GROSS PROFIT</t>
  </si>
  <si>
    <t>EBITDA</t>
  </si>
  <si>
    <t xml:space="preserve">NET PROFIT </t>
  </si>
  <si>
    <t>NET PROFIT MARGIN</t>
  </si>
  <si>
    <t>NET PROFIT BEFORE TAX</t>
  </si>
  <si>
    <t>CURRENT ASSETS</t>
  </si>
  <si>
    <t>NON-CURRENT ASSETS</t>
  </si>
  <si>
    <t>TOTAL ASSETS</t>
  </si>
  <si>
    <t>CURRENT LIABILITIES</t>
  </si>
  <si>
    <t>NON-CURRENT LIABILITIES</t>
  </si>
  <si>
    <t>TOTAL LIABILITIES</t>
  </si>
  <si>
    <t>CASH AND CASH EQUIVALENTS</t>
  </si>
  <si>
    <t>TOTAL EQUITY</t>
  </si>
  <si>
    <t>TOTAL DEBT</t>
  </si>
  <si>
    <t>TOTAL INVESTMENT FOR THE YEAR</t>
  </si>
  <si>
    <t>TOTAL ENTERPRISE VALUE</t>
  </si>
  <si>
    <t>DOLLAR EQUIVALENT of Ent Value</t>
  </si>
  <si>
    <t xml:space="preserve">NB:2018 TOTAL INVESTMENTS INCLUDES 2017 CAPEX </t>
  </si>
  <si>
    <t>nb(depreciation)</t>
  </si>
  <si>
    <t>INDUSTRY INDICES  FOR 2019</t>
  </si>
  <si>
    <t xml:space="preserve">NET PROFIT  </t>
  </si>
  <si>
    <t>TOTAL CASH AND CASH EQUIVALENTS</t>
  </si>
  <si>
    <t>TOTAL INVESTMENTS FOR THE YEAR</t>
  </si>
  <si>
    <t>INDUSTRY INDICES  FOR 2020</t>
  </si>
  <si>
    <t>expenditure</t>
  </si>
  <si>
    <t>depreciation</t>
  </si>
  <si>
    <t>INDUSTRY INDICES  FOR 2021</t>
  </si>
  <si>
    <t>DOLLAR EQUIVALENT</t>
  </si>
  <si>
    <t>cedi to dollar is pegged at 6 as at December 31, 2021</t>
  </si>
  <si>
    <t>INDUSTRY INDICES  FOR 2022</t>
  </si>
  <si>
    <t>cedi to dollar is pegged at 12.0296 as at January 31, 2023</t>
  </si>
  <si>
    <t>NB REFER TO NOTES ON NEW DIRECTIVES</t>
  </si>
  <si>
    <t>INDUSTRY INDICES  FOR 2023</t>
  </si>
  <si>
    <t>EBITDA MARGIN</t>
  </si>
  <si>
    <t>INDUSTRY INDICES  FOR 2024</t>
  </si>
  <si>
    <t>TELECEL</t>
  </si>
  <si>
    <t>INDUSTRY INDICES  FOR 2025</t>
  </si>
  <si>
    <t xml:space="preserve">INDUSTRY INDEX FOR 2017 </t>
  </si>
  <si>
    <t>VODAFONE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</si>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</sst>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00_-;\-* #,##0.0000_-;_-* &quot;-&quot;??_-;_-@_-"/>
    <numFmt numFmtId="165" formatCode="#,##0.00_ "/>
    <numFmt numFmtId="166" formatCode="_-* #,##0.000_-;\-* #,##0.0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Algerian"/>
      <charset val="1"/>
    </font>
    <font>
      <b/>
      <sz val="18"/>
      <color theme="1"/>
      <name val="Calibri"/>
      <charset val="134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4">
    <xf numFmtId="0" fontId="0" fillId="0" borderId="0" xfId="0"/>
    <xf numFmtId="0" fontId="2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43" fontId="3" fillId="2" borderId="5" xfId="1" applyFont="1" applyFill="1" applyBorder="1"/>
    <xf numFmtId="43" fontId="3" fillId="3" borderId="6" xfId="1" applyFont="1" applyFill="1" applyBorder="1"/>
    <xf numFmtId="43" fontId="3" fillId="4" borderId="6" xfId="1" applyFont="1" applyFill="1" applyBorder="1"/>
    <xf numFmtId="43" fontId="3" fillId="0" borderId="7" xfId="1" applyFont="1" applyBorder="1"/>
    <xf numFmtId="10" fontId="3" fillId="0" borderId="1" xfId="3" applyNumberFormat="1" applyFont="1" applyBorder="1" applyAlignment="1">
      <alignment horizontal="left" vertical="top" indent="1"/>
    </xf>
    <xf numFmtId="9" fontId="3" fillId="0" borderId="2" xfId="3" applyFont="1" applyBorder="1"/>
    <xf numFmtId="43" fontId="3" fillId="2" borderId="8" xfId="1" applyFont="1" applyFill="1" applyBorder="1"/>
    <xf numFmtId="43" fontId="3" fillId="3" borderId="9" xfId="1" applyFont="1" applyFill="1" applyBorder="1"/>
    <xf numFmtId="43" fontId="3" fillId="6" borderId="8" xfId="1" applyFont="1" applyFill="1" applyBorder="1"/>
    <xf numFmtId="43" fontId="3" fillId="4" borderId="9" xfId="1" applyFont="1" applyFill="1" applyBorder="1"/>
    <xf numFmtId="9" fontId="3" fillId="2" borderId="8" xfId="3" applyFont="1" applyFill="1" applyBorder="1"/>
    <xf numFmtId="10" fontId="3" fillId="3" borderId="10" xfId="3" applyNumberFormat="1" applyFont="1" applyFill="1" applyBorder="1"/>
    <xf numFmtId="10" fontId="3" fillId="4" borderId="10" xfId="3" applyNumberFormat="1" applyFont="1" applyFill="1" applyBorder="1"/>
    <xf numFmtId="10" fontId="3" fillId="0" borderId="11" xfId="3" applyNumberFormat="1" applyFont="1" applyBorder="1"/>
    <xf numFmtId="10" fontId="3" fillId="0" borderId="2" xfId="3" applyNumberFormat="1" applyFont="1" applyBorder="1" applyAlignment="1">
      <alignment horizontal="left" vertical="top" indent="1"/>
    </xf>
    <xf numFmtId="9" fontId="3" fillId="0" borderId="12" xfId="3" applyFont="1" applyBorder="1"/>
    <xf numFmtId="9" fontId="3" fillId="0" borderId="13" xfId="3" applyFont="1" applyBorder="1"/>
    <xf numFmtId="164" fontId="3" fillId="4" borderId="9" xfId="1" applyNumberFormat="1" applyFont="1" applyFill="1" applyBorder="1"/>
    <xf numFmtId="43" fontId="3" fillId="0" borderId="11" xfId="1" applyFont="1" applyBorder="1"/>
    <xf numFmtId="43" fontId="3" fillId="2" borderId="10" xfId="1" applyFont="1" applyFill="1" applyBorder="1"/>
    <xf numFmtId="43" fontId="3" fillId="4" borderId="8" xfId="1" applyFont="1" applyFill="1" applyBorder="1"/>
    <xf numFmtId="165" fontId="3" fillId="2" borderId="8" xfId="0" applyNumberFormat="1" applyFont="1" applyFill="1" applyBorder="1"/>
    <xf numFmtId="0" fontId="0" fillId="7" borderId="0" xfId="0" applyFill="1"/>
    <xf numFmtId="0" fontId="3" fillId="5" borderId="14" xfId="0" applyFont="1" applyFill="1" applyBorder="1"/>
    <xf numFmtId="43" fontId="3" fillId="2" borderId="2" xfId="1" applyFont="1" applyFill="1" applyBorder="1"/>
    <xf numFmtId="43" fontId="3" fillId="3" borderId="2" xfId="1" applyFont="1" applyFill="1" applyBorder="1"/>
    <xf numFmtId="43" fontId="3" fillId="0" borderId="15" xfId="1" applyFont="1" applyBorder="1"/>
    <xf numFmtId="0" fontId="3" fillId="0" borderId="2" xfId="0" applyFont="1" applyBorder="1" applyAlignment="1">
      <alignment wrapText="1"/>
    </xf>
    <xf numFmtId="44" fontId="3" fillId="0" borderId="2" xfId="2" applyFont="1" applyBorder="1"/>
    <xf numFmtId="9" fontId="3" fillId="0" borderId="2" xfId="3" applyFont="1" applyFill="1" applyBorder="1"/>
    <xf numFmtId="0" fontId="3" fillId="0" borderId="0" xfId="0" applyFont="1"/>
    <xf numFmtId="43" fontId="3" fillId="0" borderId="0" xfId="1" applyFont="1" applyBorder="1"/>
    <xf numFmtId="43" fontId="4" fillId="8" borderId="16" xfId="1" applyFont="1" applyFill="1" applyBorder="1"/>
    <xf numFmtId="43" fontId="5" fillId="8" borderId="0" xfId="1" applyFont="1" applyFill="1" applyBorder="1"/>
    <xf numFmtId="10" fontId="3" fillId="0" borderId="0" xfId="3" applyNumberFormat="1" applyFont="1" applyBorder="1" applyAlignment="1">
      <alignment horizontal="left" vertical="top" indent="1"/>
    </xf>
    <xf numFmtId="9" fontId="3" fillId="0" borderId="0" xfId="3" applyFont="1" applyBorder="1"/>
    <xf numFmtId="3" fontId="6" fillId="2" borderId="0" xfId="0" applyNumberFormat="1" applyFont="1" applyFill="1"/>
    <xf numFmtId="43" fontId="5" fillId="8" borderId="5" xfId="1" applyFont="1" applyFill="1" applyBorder="1"/>
    <xf numFmtId="43" fontId="5" fillId="8" borderId="0" xfId="1" applyFont="1" applyFill="1"/>
    <xf numFmtId="43" fontId="7" fillId="0" borderId="5" xfId="1" applyFont="1" applyBorder="1"/>
    <xf numFmtId="43" fontId="7" fillId="0" borderId="3" xfId="1" applyFont="1" applyBorder="1"/>
    <xf numFmtId="0" fontId="2" fillId="0" borderId="2" xfId="0" applyFont="1" applyBorder="1"/>
    <xf numFmtId="9" fontId="3" fillId="2" borderId="2" xfId="3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9" fontId="3" fillId="0" borderId="17" xfId="3" applyFont="1" applyBorder="1"/>
    <xf numFmtId="0" fontId="3" fillId="5" borderId="18" xfId="0" applyFont="1" applyFill="1" applyBorder="1"/>
    <xf numFmtId="43" fontId="3" fillId="2" borderId="19" xfId="1" applyFont="1" applyFill="1" applyBorder="1"/>
    <xf numFmtId="43" fontId="3" fillId="3" borderId="19" xfId="1" applyFont="1" applyFill="1" applyBorder="1"/>
    <xf numFmtId="43" fontId="3" fillId="6" borderId="20" xfId="1" applyFont="1" applyFill="1" applyBorder="1"/>
    <xf numFmtId="43" fontId="3" fillId="0" borderId="2" xfId="1" applyFont="1" applyBorder="1"/>
    <xf numFmtId="9" fontId="3" fillId="0" borderId="5" xfId="3" applyFont="1" applyBorder="1"/>
    <xf numFmtId="9" fontId="3" fillId="0" borderId="19" xfId="3" applyFont="1" applyBorder="1"/>
    <xf numFmtId="9" fontId="3" fillId="0" borderId="6" xfId="3" applyFont="1" applyBorder="1"/>
    <xf numFmtId="43" fontId="3" fillId="3" borderId="8" xfId="1" applyFont="1" applyFill="1" applyBorder="1"/>
    <xf numFmtId="10" fontId="3" fillId="0" borderId="8" xfId="3" applyNumberFormat="1" applyFont="1" applyBorder="1" applyAlignment="1">
      <alignment horizontal="right" vertical="top"/>
    </xf>
    <xf numFmtId="43" fontId="3" fillId="6" borderId="21" xfId="1" applyFont="1" applyFill="1" applyBorder="1"/>
    <xf numFmtId="9" fontId="3" fillId="0" borderId="8" xfId="3" applyFont="1" applyBorder="1" applyAlignment="1">
      <alignment horizontal="right"/>
    </xf>
    <xf numFmtId="43" fontId="3" fillId="6" borderId="0" xfId="1" applyFont="1" applyFill="1" applyBorder="1"/>
    <xf numFmtId="9" fontId="3" fillId="0" borderId="8" xfId="3" applyFont="1" applyBorder="1"/>
    <xf numFmtId="43" fontId="3" fillId="6" borderId="22" xfId="1" applyFont="1" applyFill="1" applyBorder="1"/>
    <xf numFmtId="10" fontId="3" fillId="3" borderId="4" xfId="3" applyNumberFormat="1" applyFont="1" applyFill="1" applyBorder="1"/>
    <xf numFmtId="10" fontId="3" fillId="6" borderId="23" xfId="3" applyNumberFormat="1" applyFont="1" applyFill="1" applyBorder="1"/>
    <xf numFmtId="43" fontId="3" fillId="0" borderId="17" xfId="1" applyFont="1" applyBorder="1"/>
    <xf numFmtId="9" fontId="3" fillId="0" borderId="9" xfId="3" applyFont="1" applyBorder="1"/>
    <xf numFmtId="166" fontId="3" fillId="6" borderId="20" xfId="1" applyNumberFormat="1" applyFont="1" applyFill="1" applyBorder="1"/>
    <xf numFmtId="43" fontId="3" fillId="0" borderId="16" xfId="1" applyFont="1" applyBorder="1"/>
    <xf numFmtId="43" fontId="3" fillId="6" borderId="24" xfId="1" applyFont="1" applyFill="1" applyBorder="1"/>
    <xf numFmtId="43" fontId="3" fillId="0" borderId="5" xfId="1" applyFont="1" applyBorder="1"/>
    <xf numFmtId="43" fontId="3" fillId="0" borderId="8" xfId="1" applyFont="1" applyBorder="1"/>
    <xf numFmtId="43" fontId="3" fillId="3" borderId="16" xfId="1" applyFont="1" applyFill="1" applyBorder="1"/>
    <xf numFmtId="0" fontId="3" fillId="5" borderId="25" xfId="0" applyFont="1" applyFill="1" applyBorder="1"/>
    <xf numFmtId="43" fontId="3" fillId="6" borderId="2" xfId="1" applyFont="1" applyFill="1" applyBorder="1"/>
    <xf numFmtId="43" fontId="3" fillId="0" borderId="26" xfId="1" applyFont="1" applyBorder="1"/>
    <xf numFmtId="0" fontId="3" fillId="6" borderId="27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" xfId="0" applyFont="1" applyBorder="1"/>
    <xf numFmtId="43" fontId="3" fillId="6" borderId="19" xfId="1" applyFont="1" applyFill="1" applyBorder="1"/>
    <xf numFmtId="43" fontId="3" fillId="0" borderId="20" xfId="1" applyFont="1" applyBorder="1"/>
    <xf numFmtId="10" fontId="3" fillId="0" borderId="20" xfId="3" applyNumberFormat="1" applyFont="1" applyBorder="1"/>
    <xf numFmtId="43" fontId="3" fillId="6" borderId="5" xfId="1" applyFont="1" applyFill="1" applyBorder="1"/>
    <xf numFmtId="43" fontId="3" fillId="0" borderId="24" xfId="1" applyFont="1" applyBorder="1"/>
    <xf numFmtId="43" fontId="3" fillId="3" borderId="3" xfId="1" applyFont="1" applyFill="1" applyBorder="1"/>
    <xf numFmtId="43" fontId="3" fillId="6" borderId="10" xfId="1" applyFont="1" applyFill="1" applyBorder="1"/>
    <xf numFmtId="43" fontId="3" fillId="0" borderId="29" xfId="1" applyFont="1" applyBorder="1"/>
    <xf numFmtId="43" fontId="3" fillId="2" borderId="23" xfId="1" applyFont="1" applyFill="1" applyBorder="1"/>
    <xf numFmtId="43" fontId="3" fillId="3" borderId="23" xfId="1" applyFont="1" applyFill="1" applyBorder="1"/>
    <xf numFmtId="43" fontId="3" fillId="6" borderId="23" xfId="1" applyFont="1" applyFill="1" applyBorder="1"/>
    <xf numFmtId="43" fontId="3" fillId="0" borderId="23" xfId="1" applyFont="1" applyBorder="1"/>
    <xf numFmtId="10" fontId="3" fillId="2" borderId="18" xfId="3" applyNumberFormat="1" applyFont="1" applyFill="1" applyBorder="1"/>
    <xf numFmtId="10" fontId="3" fillId="3" borderId="16" xfId="3" applyNumberFormat="1" applyFont="1" applyFill="1" applyBorder="1"/>
    <xf numFmtId="9" fontId="3" fillId="6" borderId="16" xfId="3" applyFont="1" applyFill="1" applyBorder="1"/>
    <xf numFmtId="9" fontId="3" fillId="0" borderId="16" xfId="3" applyFont="1" applyBorder="1"/>
    <xf numFmtId="43" fontId="3" fillId="2" borderId="30" xfId="1" applyFont="1" applyFill="1" applyBorder="1"/>
    <xf numFmtId="43" fontId="3" fillId="0" borderId="31" xfId="1" applyFont="1" applyBorder="1"/>
    <xf numFmtId="9" fontId="3" fillId="0" borderId="32" xfId="3" applyFont="1" applyBorder="1"/>
    <xf numFmtId="43" fontId="3" fillId="2" borderId="33" xfId="1" applyFont="1" applyFill="1" applyBorder="1"/>
    <xf numFmtId="43" fontId="3" fillId="3" borderId="18" xfId="1" applyFont="1" applyFill="1" applyBorder="1"/>
    <xf numFmtId="43" fontId="3" fillId="3" borderId="33" xfId="1" applyFont="1" applyFill="1" applyBorder="1"/>
    <xf numFmtId="43" fontId="3" fillId="3" borderId="4" xfId="1" applyFont="1" applyFill="1" applyBorder="1"/>
    <xf numFmtId="43" fontId="3" fillId="0" borderId="21" xfId="1" applyFont="1" applyBorder="1"/>
    <xf numFmtId="43" fontId="1" fillId="0" borderId="0" xfId="1" applyFont="1"/>
    <xf numFmtId="0" fontId="2" fillId="0" borderId="34" xfId="0" applyFont="1" applyBorder="1"/>
    <xf numFmtId="0" fontId="3" fillId="5" borderId="8" xfId="0" applyFont="1" applyFill="1" applyBorder="1"/>
    <xf numFmtId="43" fontId="3" fillId="3" borderId="5" xfId="1" applyFont="1" applyFill="1" applyBorder="1"/>
    <xf numFmtId="43" fontId="3" fillId="0" borderId="19" xfId="1" applyFont="1" applyBorder="1"/>
    <xf numFmtId="10" fontId="3" fillId="2" borderId="8" xfId="3" applyNumberFormat="1" applyFont="1" applyFill="1" applyBorder="1"/>
    <xf numFmtId="10" fontId="3" fillId="3" borderId="8" xfId="3" applyNumberFormat="1" applyFont="1" applyFill="1" applyBorder="1"/>
    <xf numFmtId="9" fontId="3" fillId="6" borderId="24" xfId="3" applyFont="1" applyFill="1" applyBorder="1"/>
    <xf numFmtId="0" fontId="3" fillId="5" borderId="26" xfId="0" applyFont="1" applyFill="1" applyBorder="1"/>
    <xf numFmtId="43" fontId="3" fillId="0" borderId="34" xfId="1" applyFont="1" applyBorder="1"/>
    <xf numFmtId="9" fontId="3" fillId="0" borderId="34" xfId="3" applyFont="1" applyBorder="1"/>
    <xf numFmtId="0" fontId="8" fillId="0" borderId="0" xfId="0" applyFont="1" applyAlignment="1">
      <alignment wrapText="1"/>
    </xf>
    <xf numFmtId="9" fontId="1" fillId="0" borderId="0" xfId="3" applyFont="1"/>
    <xf numFmtId="0" fontId="3" fillId="2" borderId="3" xfId="0" applyFont="1" applyFill="1" applyBorder="1" applyAlignment="1">
      <alignment horizontal="center"/>
    </xf>
    <xf numFmtId="43" fontId="3" fillId="2" borderId="3" xfId="1" applyFont="1" applyFill="1" applyBorder="1"/>
    <xf numFmtId="43" fontId="3" fillId="3" borderId="29" xfId="1" applyFont="1" applyFill="1" applyBorder="1"/>
    <xf numFmtId="43" fontId="3" fillId="3" borderId="20" xfId="1" applyFont="1" applyFill="1" applyBorder="1"/>
    <xf numFmtId="43" fontId="3" fillId="3" borderId="24" xfId="1" applyFont="1" applyFill="1" applyBorder="1"/>
    <xf numFmtId="9" fontId="3" fillId="3" borderId="8" xfId="3" applyFont="1" applyFill="1" applyBorder="1"/>
    <xf numFmtId="10" fontId="3" fillId="6" borderId="3" xfId="3" applyNumberFormat="1" applyFont="1" applyFill="1" applyBorder="1"/>
    <xf numFmtId="166" fontId="3" fillId="6" borderId="3" xfId="1" applyNumberFormat="1" applyFont="1" applyFill="1" applyBorder="1"/>
    <xf numFmtId="43" fontId="3" fillId="6" borderId="3" xfId="1" applyFont="1" applyFill="1" applyBorder="1"/>
    <xf numFmtId="43" fontId="3" fillId="6" borderId="16" xfId="1" applyFont="1" applyFill="1" applyBorder="1"/>
    <xf numFmtId="43" fontId="3" fillId="6" borderId="34" xfId="1" applyFont="1" applyFill="1" applyBorder="1"/>
    <xf numFmtId="0" fontId="3" fillId="5" borderId="2" xfId="0" applyFont="1" applyFill="1" applyBorder="1"/>
    <xf numFmtId="43" fontId="3" fillId="6" borderId="0" xfId="1" applyFont="1" applyFill="1"/>
    <xf numFmtId="9" fontId="3" fillId="0" borderId="8" xfId="3" applyFont="1" applyBorder="1" applyAlignment="1">
      <alignment horizontal="right" vertical="top"/>
    </xf>
    <xf numFmtId="10" fontId="3" fillId="2" borderId="8" xfId="1" applyNumberFormat="1" applyFont="1" applyFill="1" applyBorder="1"/>
    <xf numFmtId="9" fontId="3" fillId="3" borderId="8" xfId="1" applyNumberFormat="1" applyFont="1" applyFill="1" applyBorder="1"/>
    <xf numFmtId="9" fontId="3" fillId="6" borderId="22" xfId="1" applyNumberFormat="1" applyFont="1" applyFill="1" applyBorder="1"/>
    <xf numFmtId="9" fontId="3" fillId="3" borderId="4" xfId="3" applyFont="1" applyFill="1" applyBorder="1"/>
    <xf numFmtId="9" fontId="3" fillId="6" borderId="35" xfId="3" applyFont="1" applyFill="1" applyBorder="1"/>
    <xf numFmtId="43" fontId="3" fillId="3" borderId="10" xfId="1" applyFont="1" applyFill="1" applyBorder="1"/>
    <xf numFmtId="43" fontId="3" fillId="2" borderId="4" xfId="1" applyFont="1" applyFill="1" applyBorder="1"/>
    <xf numFmtId="9" fontId="3" fillId="0" borderId="26" xfId="3" applyFont="1" applyBorder="1"/>
    <xf numFmtId="9" fontId="3" fillId="0" borderId="36" xfId="3" applyFont="1" applyBorder="1"/>
    <xf numFmtId="9" fontId="3" fillId="0" borderId="17" xfId="3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43" fontId="3" fillId="2" borderId="5" xfId="1" applyFont="1" applyFill="1" applyBorder="1" applyAlignment="1">
      <alignment wrapText="1"/>
    </xf>
    <xf numFmtId="43" fontId="3" fillId="3" borderId="6" xfId="1" applyFont="1" applyFill="1" applyBorder="1" applyAlignment="1">
      <alignment wrapText="1"/>
    </xf>
    <xf numFmtId="43" fontId="3" fillId="4" borderId="6" xfId="1" applyFont="1" applyFill="1" applyBorder="1" applyAlignment="1">
      <alignment wrapText="1"/>
    </xf>
    <xf numFmtId="43" fontId="3" fillId="0" borderId="7" xfId="1" applyFont="1" applyBorder="1" applyAlignment="1">
      <alignment wrapText="1"/>
    </xf>
    <xf numFmtId="43" fontId="3" fillId="2" borderId="8" xfId="1" applyFont="1" applyFill="1" applyBorder="1" applyAlignment="1">
      <alignment wrapText="1"/>
    </xf>
    <xf numFmtId="43" fontId="3" fillId="3" borderId="9" xfId="1" applyFont="1" applyFill="1" applyBorder="1" applyAlignment="1">
      <alignment wrapText="1"/>
    </xf>
    <xf numFmtId="43" fontId="3" fillId="6" borderId="8" xfId="1" applyFont="1" applyFill="1" applyBorder="1" applyAlignment="1">
      <alignment wrapText="1"/>
    </xf>
    <xf numFmtId="43" fontId="3" fillId="4" borderId="9" xfId="1" applyFont="1" applyFill="1" applyBorder="1" applyAlignment="1">
      <alignment wrapText="1"/>
    </xf>
    <xf numFmtId="9" fontId="3" fillId="2" borderId="8" xfId="3" applyFont="1" applyFill="1" applyBorder="1" applyAlignment="1">
      <alignment wrapText="1"/>
    </xf>
    <xf numFmtId="10" fontId="3" fillId="3" borderId="10" xfId="3" applyNumberFormat="1" applyFont="1" applyFill="1" applyBorder="1" applyAlignment="1">
      <alignment wrapText="1"/>
    </xf>
    <xf numFmtId="10" fontId="3" fillId="4" borderId="10" xfId="3" applyNumberFormat="1" applyFont="1" applyFill="1" applyBorder="1" applyAlignment="1">
      <alignment wrapText="1"/>
    </xf>
    <xf numFmtId="10" fontId="3" fillId="0" borderId="11" xfId="3" applyNumberFormat="1" applyFont="1" applyBorder="1" applyAlignment="1">
      <alignment wrapText="1"/>
    </xf>
    <xf numFmtId="164" fontId="3" fillId="4" borderId="9" xfId="1" applyNumberFormat="1" applyFont="1" applyFill="1" applyBorder="1" applyAlignment="1">
      <alignment wrapText="1"/>
    </xf>
    <xf numFmtId="43" fontId="3" fillId="0" borderId="11" xfId="1" applyFont="1" applyBorder="1" applyAlignment="1">
      <alignment wrapText="1"/>
    </xf>
    <xf numFmtId="43" fontId="3" fillId="2" borderId="10" xfId="1" applyFont="1" applyFill="1" applyBorder="1" applyAlignment="1">
      <alignment wrapText="1"/>
    </xf>
    <xf numFmtId="43" fontId="3" fillId="4" borderId="8" xfId="1" applyFont="1" applyFill="1" applyBorder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0" fontId="3" fillId="7" borderId="14" xfId="0" applyFont="1" applyFill="1" applyBorder="1" applyAlignment="1">
      <alignment wrapText="1"/>
    </xf>
    <xf numFmtId="43" fontId="3" fillId="2" borderId="26" xfId="1" applyFont="1" applyFill="1" applyBorder="1" applyAlignment="1">
      <alignment wrapText="1"/>
    </xf>
    <xf numFmtId="43" fontId="3" fillId="3" borderId="36" xfId="1" applyFont="1" applyFill="1" applyBorder="1" applyAlignment="1">
      <alignment wrapText="1"/>
    </xf>
    <xf numFmtId="43" fontId="3" fillId="6" borderId="36" xfId="1" applyFont="1" applyFill="1" applyBorder="1" applyAlignment="1">
      <alignment wrapText="1"/>
    </xf>
    <xf numFmtId="43" fontId="3" fillId="8" borderId="15" xfId="1" applyFont="1" applyFill="1" applyBorder="1" applyAlignment="1">
      <alignment wrapText="1"/>
    </xf>
    <xf numFmtId="0" fontId="3" fillId="5" borderId="14" xfId="0" applyFont="1" applyFill="1" applyBorder="1" applyAlignment="1">
      <alignment wrapText="1"/>
    </xf>
    <xf numFmtId="43" fontId="3" fillId="2" borderId="2" xfId="1" applyFont="1" applyFill="1" applyBorder="1" applyAlignment="1">
      <alignment wrapText="1"/>
    </xf>
    <xf numFmtId="43" fontId="3" fillId="0" borderId="15" xfId="1" applyFont="1" applyBorder="1" applyAlignment="1">
      <alignment wrapText="1"/>
    </xf>
    <xf numFmtId="44" fontId="3" fillId="0" borderId="2" xfId="2" applyFont="1" applyBorder="1" applyAlignment="1">
      <alignment wrapText="1"/>
    </xf>
    <xf numFmtId="0" fontId="3" fillId="0" borderId="0" xfId="0" applyFont="1" applyAlignment="1">
      <alignment wrapText="1"/>
    </xf>
    <xf numFmtId="43" fontId="3" fillId="0" borderId="0" xfId="1" applyFont="1" applyBorder="1" applyAlignment="1">
      <alignment wrapText="1"/>
    </xf>
    <xf numFmtId="43" fontId="4" fillId="8" borderId="16" xfId="1" applyFont="1" applyFill="1" applyBorder="1" applyAlignment="1">
      <alignment wrapText="1"/>
    </xf>
    <xf numFmtId="43" fontId="5" fillId="8" borderId="0" xfId="1" applyFont="1" applyFill="1" applyBorder="1" applyAlignment="1">
      <alignment wrapText="1"/>
    </xf>
    <xf numFmtId="0" fontId="0" fillId="0" borderId="0" xfId="0" applyAlignment="1">
      <alignment wrapText="1"/>
    </xf>
    <xf numFmtId="3" fontId="6" fillId="2" borderId="0" xfId="0" applyNumberFormat="1" applyFont="1" applyFill="1" applyAlignment="1">
      <alignment wrapText="1"/>
    </xf>
    <xf numFmtId="43" fontId="5" fillId="8" borderId="5" xfId="1" applyFont="1" applyFill="1" applyBorder="1" applyAlignment="1">
      <alignment wrapText="1"/>
    </xf>
    <xf numFmtId="43" fontId="5" fillId="8" borderId="0" xfId="1" applyFont="1" applyFill="1" applyAlignment="1">
      <alignment wrapText="1"/>
    </xf>
    <xf numFmtId="10" fontId="3" fillId="8" borderId="2" xfId="3" applyNumberFormat="1" applyFont="1" applyFill="1" applyBorder="1" applyAlignment="1">
      <alignment horizontal="left" vertical="top" indent="1"/>
    </xf>
    <xf numFmtId="9" fontId="3" fillId="8" borderId="12" xfId="3" applyFont="1" applyFill="1" applyBorder="1"/>
    <xf numFmtId="9" fontId="3" fillId="8" borderId="34" xfId="3" applyFont="1" applyFill="1" applyBorder="1"/>
    <xf numFmtId="9" fontId="3" fillId="8" borderId="2" xfId="3" applyFont="1" applyFill="1" applyBorder="1"/>
    <xf numFmtId="43" fontId="3" fillId="2" borderId="26" xfId="1" applyFont="1" applyFill="1" applyBorder="1"/>
    <xf numFmtId="0" fontId="0" fillId="8" borderId="0" xfId="0" applyFill="1"/>
    <xf numFmtId="43" fontId="3" fillId="3" borderId="36" xfId="1" applyFont="1" applyFill="1" applyBorder="1"/>
    <xf numFmtId="43" fontId="3" fillId="6" borderId="36" xfId="1" applyFont="1" applyFill="1" applyBorder="1"/>
    <xf numFmtId="43" fontId="3" fillId="8" borderId="15" xfId="1" applyFont="1" applyFill="1" applyBorder="1"/>
    <xf numFmtId="43" fontId="3" fillId="8" borderId="26" xfId="1" applyFont="1" applyFill="1" applyBorder="1"/>
    <xf numFmtId="43" fontId="3" fillId="8" borderId="34" xfId="1" applyFont="1" applyFill="1" applyBorder="1"/>
    <xf numFmtId="9" fontId="3" fillId="8" borderId="8" xfId="3" applyFont="1" applyFill="1" applyBorder="1"/>
    <xf numFmtId="9" fontId="3" fillId="8" borderId="9" xfId="3" applyFont="1" applyFill="1" applyBorder="1"/>
    <xf numFmtId="43" fontId="3" fillId="3" borderId="34" xfId="1" applyFont="1" applyFill="1" applyBorder="1"/>
    <xf numFmtId="43" fontId="3" fillId="6" borderId="37" xfId="1" applyFont="1" applyFill="1" applyBorder="1"/>
    <xf numFmtId="43" fontId="3" fillId="8" borderId="29" xfId="1" applyFont="1" applyFill="1" applyBorder="1"/>
    <xf numFmtId="9" fontId="3" fillId="8" borderId="10" xfId="3" applyFont="1" applyFill="1" applyBorder="1"/>
    <xf numFmtId="9" fontId="3" fillId="8" borderId="38" xfId="3" applyFont="1" applyFill="1" applyBorder="1"/>
    <xf numFmtId="43" fontId="3" fillId="3" borderId="14" xfId="1" applyFont="1" applyFill="1" applyBorder="1"/>
    <xf numFmtId="43" fontId="3" fillId="3" borderId="26" xfId="1" applyFont="1" applyFill="1" applyBorder="1"/>
    <xf numFmtId="43" fontId="3" fillId="8" borderId="16" xfId="1" applyFont="1" applyFill="1" applyBorder="1"/>
    <xf numFmtId="9" fontId="3" fillId="8" borderId="16" xfId="3" applyFont="1" applyFill="1" applyBorder="1"/>
    <xf numFmtId="0" fontId="3" fillId="5" borderId="39" xfId="0" applyFont="1" applyFill="1" applyBorder="1"/>
    <xf numFmtId="9" fontId="3" fillId="8" borderId="26" xfId="3" applyFont="1" applyFill="1" applyBorder="1"/>
    <xf numFmtId="9" fontId="3" fillId="8" borderId="19" xfId="3" applyFont="1" applyFill="1" applyBorder="1"/>
    <xf numFmtId="9" fontId="3" fillId="8" borderId="6" xfId="3" applyFont="1" applyFill="1" applyBorder="1"/>
    <xf numFmtId="43" fontId="3" fillId="3" borderId="34" xfId="1" applyFont="1" applyFill="1" applyBorder="1" applyAlignment="1">
      <alignment horizontal="center"/>
    </xf>
    <xf numFmtId="9" fontId="3" fillId="8" borderId="36" xfId="3" applyFont="1" applyFill="1" applyBorder="1"/>
    <xf numFmtId="43" fontId="10" fillId="2" borderId="19" xfId="1" applyFont="1" applyFill="1" applyBorder="1" applyAlignment="1"/>
    <xf numFmtId="43" fontId="10" fillId="2" borderId="8" xfId="1" applyFont="1" applyFill="1" applyBorder="1" applyAlignment="1"/>
    <xf numFmtId="10" fontId="10" fillId="2" borderId="8" xfId="1" applyNumberFormat="1" applyFont="1" applyFill="1" applyBorder="1" applyAlignment="1"/>
    <xf numFmtId="43" fontId="10" fillId="2" borderId="8" xfId="1" applyFont="1" applyFill="1" applyBorder="1" applyAlignment="1" applyProtection="1"/>
    <xf numFmtId="43" fontId="10" fillId="2" borderId="4" xfId="1" applyFont="1" applyFill="1" applyBorder="1" applyAlignment="1"/>
    <xf numFmtId="43" fontId="10" fillId="2" borderId="2" xfId="1" applyFont="1" applyFill="1" applyBorder="1" applyAlignment="1"/>
    <xf numFmtId="43" fontId="10" fillId="2" borderId="8" xfId="1" applyNumberFormat="1" applyFont="1" applyFill="1" applyBorder="1" applyAlignment="1"/>
    <xf numFmtId="9" fontId="3" fillId="0" borderId="0" xfId="3" applyFont="1" applyFill="1" applyBorder="1"/>
    <xf numFmtId="43" fontId="3" fillId="0" borderId="0" xfId="1" applyFont="1" applyFill="1" applyBorder="1"/>
    <xf numFmtId="43" fontId="5" fillId="0" borderId="0" xfId="1" applyFont="1" applyFill="1" applyBorder="1"/>
    <xf numFmtId="10" fontId="3" fillId="0" borderId="0" xfId="3" applyNumberFormat="1" applyFont="1" applyFill="1" applyBorder="1" applyAlignment="1">
      <alignment horizontal="left" vertical="top" indent="1"/>
    </xf>
    <xf numFmtId="0" fontId="3" fillId="0" borderId="0" xfId="0" applyFont="1" applyFill="1" applyBorder="1" applyAlignment="1">
      <alignment wrapText="1"/>
    </xf>
    <xf numFmtId="44" fontId="3" fillId="0" borderId="0" xfId="2" applyFont="1" applyFill="1" applyBorder="1"/>
    <xf numFmtId="9" fontId="3" fillId="0" borderId="41" xfId="3" applyFont="1" applyFill="1" applyBorder="1"/>
    <xf numFmtId="43" fontId="7" fillId="0" borderId="16" xfId="1" applyFont="1" applyBorder="1" applyAlignment="1">
      <alignment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10" fontId="3" fillId="0" borderId="0" xfId="3" applyNumberFormat="1" applyFont="1" applyFill="1" applyBorder="1"/>
    <xf numFmtId="164" fontId="3" fillId="0" borderId="0" xfId="1" applyNumberFormat="1" applyFont="1" applyFill="1" applyBorder="1"/>
    <xf numFmtId="165" fontId="3" fillId="0" borderId="0" xfId="0" applyNumberFormat="1" applyFont="1" applyFill="1" applyBorder="1"/>
    <xf numFmtId="43" fontId="4" fillId="0" borderId="0" xfId="1" applyFont="1" applyFill="1" applyBorder="1"/>
    <xf numFmtId="0" fontId="0" fillId="0" borderId="0" xfId="0" applyFill="1" applyBorder="1"/>
    <xf numFmtId="3" fontId="6" fillId="0" borderId="0" xfId="0" applyNumberFormat="1" applyFont="1" applyFill="1" applyBorder="1"/>
    <xf numFmtId="43" fontId="7" fillId="0" borderId="0" xfId="1" applyFont="1" applyFill="1" applyBorder="1"/>
    <xf numFmtId="9" fontId="3" fillId="0" borderId="0" xfId="3" applyFont="1" applyFill="1" applyBorder="1" applyAlignment="1">
      <alignment horizontal="center"/>
    </xf>
    <xf numFmtId="10" fontId="3" fillId="0" borderId="0" xfId="3" applyNumberFormat="1" applyFont="1" applyFill="1" applyBorder="1" applyAlignment="1">
      <alignment horizontal="right" vertical="top"/>
    </xf>
    <xf numFmtId="9" fontId="3" fillId="0" borderId="0" xfId="3" applyFont="1" applyFill="1" applyBorder="1" applyAlignment="1">
      <alignment horizontal="right"/>
    </xf>
    <xf numFmtId="166" fontId="3" fillId="0" borderId="0" xfId="1" applyNumberFormat="1" applyFont="1" applyFill="1" applyBorder="1"/>
    <xf numFmtId="43" fontId="1" fillId="0" borderId="0" xfId="1" applyFont="1" applyFill="1" applyBorder="1"/>
    <xf numFmtId="0" fontId="8" fillId="0" borderId="0" xfId="0" applyFont="1" applyFill="1" applyBorder="1" applyAlignment="1">
      <alignment wrapText="1"/>
    </xf>
    <xf numFmtId="9" fontId="1" fillId="0" borderId="0" xfId="3" applyFont="1" applyFill="1" applyBorder="1"/>
    <xf numFmtId="9" fontId="3" fillId="0" borderId="0" xfId="3" applyFont="1" applyFill="1" applyBorder="1" applyAlignment="1">
      <alignment horizontal="right" vertical="top"/>
    </xf>
    <xf numFmtId="10" fontId="3" fillId="0" borderId="0" xfId="1" applyNumberFormat="1" applyFont="1" applyFill="1" applyBorder="1"/>
    <xf numFmtId="9" fontId="3" fillId="0" borderId="0" xfId="1" applyNumberFormat="1" applyFont="1" applyFill="1" applyBorder="1"/>
    <xf numFmtId="43" fontId="3" fillId="0" borderId="0" xfId="1" applyFont="1" applyFill="1" applyBorder="1" applyAlignment="1">
      <alignment horizontal="center"/>
    </xf>
    <xf numFmtId="43" fontId="10" fillId="0" borderId="0" xfId="1" applyFont="1" applyFill="1" applyBorder="1" applyAlignment="1"/>
    <xf numFmtId="43" fontId="10" fillId="0" borderId="0" xfId="1" applyNumberFormat="1" applyFont="1" applyFill="1" applyBorder="1" applyAlignment="1"/>
    <xf numFmtId="10" fontId="10" fillId="0" borderId="0" xfId="1" applyNumberFormat="1" applyFont="1" applyFill="1" applyBorder="1" applyAlignment="1"/>
    <xf numFmtId="43" fontId="10" fillId="0" borderId="0" xfId="1" applyFont="1" applyFill="1" applyBorder="1" applyAlignment="1" applyProtection="1"/>
    <xf numFmtId="0" fontId="11" fillId="0" borderId="0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40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47"/>
  <sheetViews>
    <sheetView zoomScale="50" zoomScaleNormal="50" workbookViewId="0">
      <selection activeCell="B21" sqref="B21:D21"/>
    </sheetView>
  </sheetViews>
  <sheetFormatPr defaultColWidth="8.85546875" defaultRowHeight="15"/>
  <cols>
    <col min="1" max="2" width="45.140625" customWidth="1"/>
    <col min="3" max="3" width="32.85546875" customWidth="1"/>
    <col min="4" max="4" width="31.7109375" customWidth="1"/>
    <col min="5" max="5" width="34.140625" customWidth="1"/>
    <col min="6" max="6" width="22.140625" customWidth="1"/>
    <col min="7" max="7" width="22" customWidth="1"/>
    <col min="8" max="8" width="18.28515625" customWidth="1"/>
    <col min="9" max="9" width="20.42578125" customWidth="1"/>
    <col min="11" max="11" width="13.5703125" bestFit="1" customWidth="1"/>
  </cols>
  <sheetData>
    <row r="1" spans="1:8" ht="29.25" thickBot="1">
      <c r="A1" s="255" t="s">
        <v>45</v>
      </c>
      <c r="B1" s="256"/>
      <c r="C1" s="256"/>
      <c r="D1" s="256"/>
      <c r="E1" s="257"/>
      <c r="F1" s="258" t="s">
        <v>47</v>
      </c>
      <c r="G1" s="259"/>
      <c r="H1" s="260"/>
    </row>
    <row r="2" spans="1:8" ht="24" thickBot="1">
      <c r="A2" s="146" t="s">
        <v>1</v>
      </c>
      <c r="B2" s="147" t="s">
        <v>2</v>
      </c>
      <c r="C2" s="148" t="s">
        <v>46</v>
      </c>
      <c r="D2" s="149" t="s">
        <v>3</v>
      </c>
      <c r="E2" s="150" t="s">
        <v>4</v>
      </c>
      <c r="F2" s="5" t="s">
        <v>2</v>
      </c>
      <c r="G2" s="6" t="s">
        <v>43</v>
      </c>
      <c r="H2" s="6" t="s">
        <v>3</v>
      </c>
    </row>
    <row r="3" spans="1:8" ht="24" thickBot="1">
      <c r="A3" s="151" t="s">
        <v>5</v>
      </c>
      <c r="B3" s="152">
        <v>3471007000</v>
      </c>
      <c r="C3" s="153">
        <v>1252137000</v>
      </c>
      <c r="D3" s="154">
        <v>546972000</v>
      </c>
      <c r="E3" s="155">
        <f t="shared" ref="E3:E8" si="0">B3+C3+D3</f>
        <v>5270116000</v>
      </c>
      <c r="F3" s="12">
        <f t="shared" ref="F3:F8" si="1">SUM(B3/E3)</f>
        <v>0.65862060721244087</v>
      </c>
      <c r="G3" s="13">
        <f t="shared" ref="G3:G8" si="2">C3/E3</f>
        <v>0.23759192397283097</v>
      </c>
      <c r="H3" s="13">
        <f t="shared" ref="H3:H8" si="3">D3/E3</f>
        <v>0.10378746881472818</v>
      </c>
    </row>
    <row r="4" spans="1:8" ht="24" thickBot="1">
      <c r="A4" s="151" t="s">
        <v>6</v>
      </c>
      <c r="B4" s="156">
        <v>913816000</v>
      </c>
      <c r="C4" s="157">
        <v>1507892000</v>
      </c>
      <c r="D4" s="158"/>
      <c r="E4" s="155">
        <f t="shared" si="0"/>
        <v>2421708000</v>
      </c>
      <c r="F4" s="12">
        <f t="shared" si="1"/>
        <v>0.37734359386020117</v>
      </c>
      <c r="G4" s="13">
        <f t="shared" si="2"/>
        <v>0.62265640613979889</v>
      </c>
      <c r="H4" s="13">
        <f t="shared" si="3"/>
        <v>0</v>
      </c>
    </row>
    <row r="5" spans="1:8" ht="24" thickBot="1">
      <c r="A5" s="151" t="s">
        <v>7</v>
      </c>
      <c r="B5" s="156">
        <v>1357836000</v>
      </c>
      <c r="C5" s="157">
        <v>586659000</v>
      </c>
      <c r="D5" s="159">
        <v>338610000</v>
      </c>
      <c r="E5" s="155">
        <f t="shared" si="0"/>
        <v>2283105000</v>
      </c>
      <c r="F5" s="12">
        <f t="shared" si="1"/>
        <v>0.5947321739473217</v>
      </c>
      <c r="G5" s="13">
        <f t="shared" si="2"/>
        <v>0.25695664456956646</v>
      </c>
      <c r="H5" s="13">
        <f t="shared" si="3"/>
        <v>0.14831118148311181</v>
      </c>
    </row>
    <row r="6" spans="1:8" ht="24" thickBot="1">
      <c r="A6" s="151" t="s">
        <v>8</v>
      </c>
      <c r="B6" s="156">
        <v>2113171000</v>
      </c>
      <c r="C6" s="157">
        <f>C3-C5</f>
        <v>665478000</v>
      </c>
      <c r="D6" s="159">
        <v>208362000</v>
      </c>
      <c r="E6" s="155">
        <f t="shared" si="0"/>
        <v>2987011000</v>
      </c>
      <c r="F6" s="12">
        <f t="shared" si="1"/>
        <v>0.70745337061028568</v>
      </c>
      <c r="G6" s="13">
        <f t="shared" si="2"/>
        <v>0.222790609073753</v>
      </c>
      <c r="H6" s="13">
        <f t="shared" si="3"/>
        <v>6.9756020315961342E-2</v>
      </c>
    </row>
    <row r="7" spans="1:8" ht="24" thickBot="1">
      <c r="A7" s="151" t="s">
        <v>9</v>
      </c>
      <c r="B7" s="156">
        <v>1199355000</v>
      </c>
      <c r="C7" s="157">
        <f>C10+161005000+13274000</f>
        <v>-668135000</v>
      </c>
      <c r="D7" s="159"/>
      <c r="E7" s="155">
        <f t="shared" si="0"/>
        <v>531220000</v>
      </c>
      <c r="F7" s="12">
        <f t="shared" si="1"/>
        <v>2.2577369074959526</v>
      </c>
      <c r="G7" s="13">
        <f t="shared" si="2"/>
        <v>-1.2577369074959528</v>
      </c>
      <c r="H7" s="13">
        <f t="shared" si="3"/>
        <v>0</v>
      </c>
    </row>
    <row r="8" spans="1:8" ht="24" thickBot="1">
      <c r="A8" s="151" t="s">
        <v>10</v>
      </c>
      <c r="B8" s="156">
        <v>479514000</v>
      </c>
      <c r="C8" s="157">
        <v>842655000</v>
      </c>
      <c r="D8" s="159"/>
      <c r="E8" s="155">
        <f t="shared" si="0"/>
        <v>1322169000</v>
      </c>
      <c r="F8" s="12">
        <f t="shared" si="1"/>
        <v>0.36267224537861648</v>
      </c>
      <c r="G8" s="13">
        <f t="shared" si="2"/>
        <v>0.63732775462138347</v>
      </c>
      <c r="H8" s="13">
        <f t="shared" si="3"/>
        <v>0</v>
      </c>
    </row>
    <row r="9" spans="1:8" ht="24" thickBot="1">
      <c r="A9" s="151" t="s">
        <v>11</v>
      </c>
      <c r="B9" s="160">
        <f>B8/B3</f>
        <v>0.13814838172322902</v>
      </c>
      <c r="C9" s="161">
        <f>C8/C3</f>
        <v>0.67297348453084604</v>
      </c>
      <c r="D9" s="162">
        <f>D8/D3</f>
        <v>0</v>
      </c>
      <c r="E9" s="163"/>
      <c r="F9" s="22"/>
      <c r="G9" s="23"/>
      <c r="H9" s="24"/>
    </row>
    <row r="10" spans="1:8" ht="24" thickBot="1">
      <c r="A10" s="151" t="s">
        <v>12</v>
      </c>
      <c r="B10" s="156">
        <v>686195000</v>
      </c>
      <c r="C10" s="157">
        <v>-842414000</v>
      </c>
      <c r="D10" s="164">
        <v>-382503</v>
      </c>
      <c r="E10" s="165">
        <f>B10+C10+D10</f>
        <v>-156601503</v>
      </c>
      <c r="F10" s="12"/>
      <c r="G10" s="13"/>
      <c r="H10" s="13"/>
    </row>
    <row r="11" spans="1:8" ht="24" thickBot="1">
      <c r="A11" s="151" t="s">
        <v>13</v>
      </c>
      <c r="B11" s="166">
        <v>1010918000</v>
      </c>
      <c r="C11" s="157">
        <v>658406000</v>
      </c>
      <c r="D11" s="167">
        <v>1289693000</v>
      </c>
      <c r="E11" s="165">
        <f t="shared" ref="E11:E19" si="4">B11+C11+D11</f>
        <v>2959017000</v>
      </c>
      <c r="F11" s="12">
        <f>B11/E11</f>
        <v>0.34163980808491468</v>
      </c>
      <c r="G11" s="13">
        <f t="shared" ref="G11:G21" si="5">C11/E11</f>
        <v>0.22250835328083618</v>
      </c>
      <c r="H11" s="13">
        <f t="shared" ref="H11:H19" si="6">D11/E11</f>
        <v>0.43585183863424914</v>
      </c>
    </row>
    <row r="12" spans="1:8" ht="21" customHeight="1" thickBot="1">
      <c r="A12" s="151" t="s">
        <v>14</v>
      </c>
      <c r="B12" s="168">
        <v>3059107000</v>
      </c>
      <c r="C12" s="157">
        <v>704970000</v>
      </c>
      <c r="D12" s="167">
        <v>269285000</v>
      </c>
      <c r="E12" s="165">
        <f t="shared" si="4"/>
        <v>4033362000</v>
      </c>
      <c r="F12" s="12">
        <f>B12/E12</f>
        <v>0.75845089034904378</v>
      </c>
      <c r="G12" s="13">
        <f t="shared" si="5"/>
        <v>0.17478470814174379</v>
      </c>
      <c r="H12" s="13">
        <f t="shared" si="6"/>
        <v>6.6764401509212409E-2</v>
      </c>
    </row>
    <row r="13" spans="1:8" ht="20.100000000000001" customHeight="1" thickBot="1">
      <c r="A13" s="151" t="s">
        <v>15</v>
      </c>
      <c r="B13" s="168">
        <v>4070025000</v>
      </c>
      <c r="C13" s="157">
        <v>1363376000</v>
      </c>
      <c r="D13" s="167">
        <f>D11+D12</f>
        <v>1558978000</v>
      </c>
      <c r="E13" s="165">
        <f t="shared" si="4"/>
        <v>6992379000</v>
      </c>
      <c r="F13" s="12">
        <f>B13/E13</f>
        <v>0.58206584625919167</v>
      </c>
      <c r="G13" s="13">
        <f t="shared" si="5"/>
        <v>0.19498027781388852</v>
      </c>
      <c r="H13" s="13">
        <f t="shared" si="6"/>
        <v>0.22295387592691987</v>
      </c>
    </row>
    <row r="14" spans="1:8" ht="24" thickBot="1">
      <c r="A14" s="151" t="s">
        <v>16</v>
      </c>
      <c r="B14" s="168">
        <v>1281712000</v>
      </c>
      <c r="C14" s="157">
        <v>6045269000</v>
      </c>
      <c r="D14" s="167">
        <v>997104000</v>
      </c>
      <c r="E14" s="165">
        <f t="shared" si="4"/>
        <v>8324085000</v>
      </c>
      <c r="F14" s="12"/>
      <c r="G14" s="13">
        <f t="shared" si="5"/>
        <v>0.72623825922008245</v>
      </c>
      <c r="H14" s="13">
        <f t="shared" si="6"/>
        <v>0.11978541785673741</v>
      </c>
    </row>
    <row r="15" spans="1:8" ht="24" thickBot="1">
      <c r="A15" s="151" t="s">
        <v>17</v>
      </c>
      <c r="B15" s="152">
        <v>653083000</v>
      </c>
      <c r="C15" s="157">
        <v>1611352000</v>
      </c>
      <c r="D15" s="159">
        <v>908369000</v>
      </c>
      <c r="E15" s="165">
        <f t="shared" si="4"/>
        <v>3172804000</v>
      </c>
      <c r="F15" s="12"/>
      <c r="G15" s="13">
        <f t="shared" si="5"/>
        <v>0.50786370667712222</v>
      </c>
      <c r="H15" s="13">
        <f t="shared" si="6"/>
        <v>0.28629849180724681</v>
      </c>
    </row>
    <row r="16" spans="1:8" ht="24" thickBot="1">
      <c r="A16" s="151" t="s">
        <v>18</v>
      </c>
      <c r="B16" s="156">
        <v>1934795000</v>
      </c>
      <c r="C16" s="157">
        <v>7656621000</v>
      </c>
      <c r="D16" s="159">
        <f>D14+D15</f>
        <v>1905473000</v>
      </c>
      <c r="E16" s="165">
        <f t="shared" si="4"/>
        <v>11496889000</v>
      </c>
      <c r="F16" s="12">
        <f t="shared" ref="F16:F22" si="7">SUM(B16/E16)</f>
        <v>0.16828856919467519</v>
      </c>
      <c r="G16" s="13">
        <f t="shared" si="5"/>
        <v>0.66597329068759381</v>
      </c>
      <c r="H16" s="13">
        <f t="shared" si="6"/>
        <v>0.16573814011773097</v>
      </c>
    </row>
    <row r="17" spans="1:8" ht="47.25" thickBot="1">
      <c r="A17" s="151" t="s">
        <v>19</v>
      </c>
      <c r="B17" s="156">
        <v>183693000</v>
      </c>
      <c r="C17" s="157">
        <v>232895000</v>
      </c>
      <c r="D17" s="159">
        <v>79211000</v>
      </c>
      <c r="E17" s="165">
        <f t="shared" si="4"/>
        <v>495799000</v>
      </c>
      <c r="F17" s="12">
        <f t="shared" si="7"/>
        <v>0.37049893202688994</v>
      </c>
      <c r="G17" s="13">
        <f t="shared" si="5"/>
        <v>0.46973672798855987</v>
      </c>
      <c r="H17" s="13">
        <f t="shared" si="6"/>
        <v>0.1597643399845502</v>
      </c>
    </row>
    <row r="18" spans="1:8" ht="24" thickBot="1">
      <c r="A18" s="151" t="s">
        <v>20</v>
      </c>
      <c r="B18" s="156">
        <v>2135230000</v>
      </c>
      <c r="C18" s="157">
        <v>-6293245000</v>
      </c>
      <c r="D18" s="159">
        <v>346495000</v>
      </c>
      <c r="E18" s="165">
        <f t="shared" si="4"/>
        <v>-3811520000</v>
      </c>
      <c r="F18" s="12">
        <f t="shared" si="7"/>
        <v>-0.56020432793216357</v>
      </c>
      <c r="G18" s="13">
        <f t="shared" si="5"/>
        <v>1.651111630005877</v>
      </c>
      <c r="H18" s="13">
        <f t="shared" si="6"/>
        <v>-9.0907302073713378E-2</v>
      </c>
    </row>
    <row r="19" spans="1:8" ht="24" thickBot="1">
      <c r="A19" s="151" t="s">
        <v>21</v>
      </c>
      <c r="B19" s="156">
        <v>438854000</v>
      </c>
      <c r="C19" s="157">
        <v>6083090000</v>
      </c>
      <c r="D19" s="159">
        <v>566366000</v>
      </c>
      <c r="E19" s="165">
        <f t="shared" si="4"/>
        <v>7088310000</v>
      </c>
      <c r="F19" s="12">
        <f t="shared" si="7"/>
        <v>6.1912359927824824E-2</v>
      </c>
      <c r="G19" s="13">
        <f t="shared" si="5"/>
        <v>0.85818622492526431</v>
      </c>
      <c r="H19" s="13">
        <f t="shared" si="6"/>
        <v>7.9901415146910904E-2</v>
      </c>
    </row>
    <row r="20" spans="1:8" ht="47.25" thickBot="1">
      <c r="A20" s="169" t="s">
        <v>22</v>
      </c>
      <c r="B20" s="170">
        <f>B24+B25</f>
        <v>1449074000</v>
      </c>
      <c r="C20" s="171">
        <f>C24+C25</f>
        <v>48841000</v>
      </c>
      <c r="D20" s="172">
        <v>709922000</v>
      </c>
      <c r="E20" s="173">
        <f>SUM(B20:D20)</f>
        <v>2207837000</v>
      </c>
      <c r="F20" s="186">
        <f t="shared" si="7"/>
        <v>0.65633196653557302</v>
      </c>
      <c r="G20" s="189">
        <f t="shared" si="5"/>
        <v>2.2121651190735548E-2</v>
      </c>
      <c r="H20" s="188">
        <f>SUM(D20/E20)</f>
        <v>0.32154638227369142</v>
      </c>
    </row>
    <row r="21" spans="1:8" ht="24" thickBot="1">
      <c r="A21" s="174" t="s">
        <v>23</v>
      </c>
      <c r="B21" s="175">
        <f>(B18+B19)-B17</f>
        <v>2390391000</v>
      </c>
      <c r="C21" s="175">
        <f t="shared" ref="C21:D21" si="8">(C18+C19)-C17</f>
        <v>-443050000</v>
      </c>
      <c r="D21" s="175">
        <f t="shared" si="8"/>
        <v>833650000</v>
      </c>
      <c r="E21" s="176">
        <f>B21+C21+D21</f>
        <v>2780991000</v>
      </c>
      <c r="F21" s="22">
        <f t="shared" si="7"/>
        <v>0.85954647102417803</v>
      </c>
      <c r="G21" s="23">
        <f t="shared" si="5"/>
        <v>-0.15931371227019434</v>
      </c>
      <c r="H21" s="13">
        <f>SUM(D21/E21)</f>
        <v>0.29976724124601628</v>
      </c>
    </row>
    <row r="22" spans="1:8" ht="47.25" thickBot="1">
      <c r="A22" s="35" t="s">
        <v>24</v>
      </c>
      <c r="B22" s="177">
        <f>IFERROR(B21/#REF!,0)</f>
        <v>0</v>
      </c>
      <c r="C22" s="177">
        <f>IFERROR(C21/#REF!,0)</f>
        <v>0</v>
      </c>
      <c r="D22" s="177">
        <f>IFERROR(D21/#REF!,0)</f>
        <v>0</v>
      </c>
      <c r="E22" s="177">
        <f>IFERROR(E21/#REF!,0)</f>
        <v>0</v>
      </c>
      <c r="F22" s="37" t="e">
        <f t="shared" si="7"/>
        <v>#DIV/0!</v>
      </c>
      <c r="G22" s="37" t="e">
        <f>SUM(D22/E22)</f>
        <v>#DIV/0!</v>
      </c>
      <c r="H22" s="37" t="e">
        <f>SUM(C22/E22)</f>
        <v>#DIV/0!</v>
      </c>
    </row>
    <row r="23" spans="1:8" ht="69.75">
      <c r="A23" s="178" t="s">
        <v>25</v>
      </c>
      <c r="B23" s="179"/>
      <c r="C23" s="180" t="s">
        <v>26</v>
      </c>
      <c r="D23" s="181">
        <v>8720000</v>
      </c>
      <c r="E23" s="179"/>
    </row>
    <row r="24" spans="1:8" ht="18.75">
      <c r="A24" s="182">
        <v>2017</v>
      </c>
      <c r="B24" s="183">
        <v>784263000</v>
      </c>
      <c r="C24" s="184">
        <v>9160000</v>
      </c>
      <c r="D24" s="185">
        <v>166147000</v>
      </c>
      <c r="E24" s="182"/>
    </row>
    <row r="25" spans="1:8" ht="18.75">
      <c r="A25" s="182">
        <v>2018</v>
      </c>
      <c r="B25" s="183">
        <v>664811000</v>
      </c>
      <c r="C25" s="184">
        <v>39681000</v>
      </c>
      <c r="D25" s="185">
        <v>171629000</v>
      </c>
      <c r="E25" s="182"/>
    </row>
    <row r="26" spans="1:8" ht="18.75">
      <c r="A26" s="182"/>
      <c r="B26" s="183"/>
      <c r="C26" s="184"/>
      <c r="D26" s="185"/>
      <c r="E26" s="182"/>
    </row>
    <row r="27" spans="1:8" ht="18.75">
      <c r="A27" s="182"/>
      <c r="B27" s="183"/>
      <c r="C27" s="184"/>
      <c r="D27" s="185"/>
      <c r="E27" s="182"/>
    </row>
    <row r="28" spans="1:8" ht="18.75">
      <c r="A28" s="182"/>
      <c r="B28" s="182"/>
      <c r="C28" s="228"/>
      <c r="D28" s="182"/>
      <c r="E28" s="182"/>
    </row>
    <row r="29" spans="1:8" ht="28.5">
      <c r="A29" s="254"/>
      <c r="B29" s="254"/>
      <c r="C29" s="254"/>
      <c r="D29" s="254"/>
      <c r="E29" s="254"/>
      <c r="F29" s="254"/>
      <c r="G29" s="254"/>
      <c r="H29" s="254"/>
    </row>
    <row r="30" spans="1:8" ht="23.25">
      <c r="A30" s="229"/>
      <c r="B30" s="230"/>
      <c r="C30" s="230"/>
      <c r="D30" s="230"/>
      <c r="E30" s="230"/>
      <c r="F30" s="230"/>
      <c r="G30" s="230"/>
      <c r="H30" s="230"/>
    </row>
    <row r="31" spans="1:8" ht="23.25">
      <c r="A31" s="231"/>
      <c r="B31" s="222"/>
      <c r="C31" s="222"/>
      <c r="D31" s="222"/>
      <c r="E31" s="222"/>
      <c r="F31" s="224"/>
      <c r="G31" s="221"/>
      <c r="H31" s="221"/>
    </row>
    <row r="32" spans="1:8" ht="23.25">
      <c r="A32" s="231"/>
      <c r="B32" s="222"/>
      <c r="C32" s="222"/>
      <c r="D32" s="222"/>
      <c r="E32" s="222"/>
      <c r="F32" s="224"/>
      <c r="G32" s="221"/>
      <c r="H32" s="221"/>
    </row>
    <row r="33" spans="1:125" ht="23.25">
      <c r="A33" s="231"/>
      <c r="B33" s="222"/>
      <c r="C33" s="222"/>
      <c r="D33" s="222"/>
      <c r="E33" s="222"/>
      <c r="F33" s="224"/>
      <c r="G33" s="221"/>
      <c r="H33" s="221"/>
    </row>
    <row r="34" spans="1:125" ht="23.25">
      <c r="A34" s="231"/>
      <c r="B34" s="222"/>
      <c r="C34" s="222"/>
      <c r="D34" s="222"/>
      <c r="E34" s="222"/>
      <c r="F34" s="224"/>
      <c r="G34" s="221"/>
      <c r="H34" s="221"/>
    </row>
    <row r="35" spans="1:125" ht="23.25">
      <c r="A35" s="231"/>
      <c r="B35" s="222"/>
      <c r="C35" s="222"/>
      <c r="D35" s="222"/>
      <c r="E35" s="222"/>
      <c r="F35" s="224"/>
      <c r="G35" s="221"/>
      <c r="H35" s="221"/>
    </row>
    <row r="36" spans="1:125" ht="23.25">
      <c r="A36" s="231"/>
      <c r="B36" s="222"/>
      <c r="C36" s="222"/>
      <c r="D36" s="222"/>
      <c r="E36" s="222"/>
      <c r="F36" s="224"/>
      <c r="G36" s="221"/>
      <c r="H36" s="221"/>
    </row>
    <row r="37" spans="1:125" ht="23.25">
      <c r="A37" s="231"/>
      <c r="B37" s="221"/>
      <c r="C37" s="232"/>
      <c r="D37" s="232"/>
      <c r="E37" s="232"/>
      <c r="F37" s="224"/>
      <c r="G37" s="221"/>
      <c r="H37" s="221"/>
    </row>
    <row r="38" spans="1:125" ht="23.25">
      <c r="A38" s="231"/>
      <c r="B38" s="222"/>
      <c r="C38" s="222"/>
      <c r="D38" s="233"/>
      <c r="E38" s="222"/>
      <c r="F38" s="224"/>
      <c r="G38" s="221"/>
      <c r="H38" s="221"/>
    </row>
    <row r="39" spans="1:125" ht="23.25">
      <c r="A39" s="231"/>
      <c r="B39" s="222"/>
      <c r="C39" s="222"/>
      <c r="D39" s="222"/>
      <c r="E39" s="222"/>
      <c r="F39" s="224"/>
      <c r="G39" s="221"/>
      <c r="H39" s="221"/>
    </row>
    <row r="40" spans="1:125" ht="23.25">
      <c r="A40" s="231"/>
      <c r="B40" s="234"/>
      <c r="C40" s="222"/>
      <c r="D40" s="222"/>
      <c r="E40" s="222"/>
      <c r="F40" s="224"/>
      <c r="G40" s="221"/>
      <c r="H40" s="221"/>
    </row>
    <row r="41" spans="1:125" ht="23.25">
      <c r="A41" s="231"/>
      <c r="B41" s="234"/>
      <c r="C41" s="222"/>
      <c r="D41" s="222"/>
      <c r="E41" s="222"/>
      <c r="F41" s="224"/>
      <c r="G41" s="221"/>
      <c r="H41" s="221"/>
    </row>
    <row r="42" spans="1:125" ht="23.25">
      <c r="A42" s="231"/>
      <c r="B42" s="234"/>
      <c r="C42" s="222"/>
      <c r="D42" s="222"/>
      <c r="E42" s="222"/>
      <c r="F42" s="224"/>
      <c r="G42" s="221"/>
      <c r="H42" s="221"/>
    </row>
    <row r="43" spans="1:125" ht="23.25">
      <c r="A43" s="231"/>
      <c r="B43" s="222"/>
      <c r="C43" s="222"/>
      <c r="D43" s="222"/>
      <c r="E43" s="222"/>
      <c r="F43" s="224"/>
      <c r="G43" s="221"/>
      <c r="H43" s="221"/>
    </row>
    <row r="44" spans="1:125" ht="23.25">
      <c r="A44" s="231"/>
      <c r="B44" s="222"/>
      <c r="C44" s="222"/>
      <c r="D44" s="222"/>
      <c r="E44" s="222"/>
      <c r="F44" s="224"/>
      <c r="G44" s="221"/>
      <c r="H44" s="221"/>
    </row>
    <row r="45" spans="1:125" ht="23.25">
      <c r="A45" s="231"/>
      <c r="B45" s="222"/>
      <c r="C45" s="222"/>
      <c r="D45" s="222"/>
      <c r="E45" s="222"/>
      <c r="F45" s="224"/>
      <c r="G45" s="221"/>
      <c r="H45" s="221"/>
    </row>
    <row r="46" spans="1:125" ht="23.25">
      <c r="A46" s="231"/>
      <c r="B46" s="222"/>
      <c r="C46" s="222"/>
      <c r="D46" s="222"/>
      <c r="E46" s="222"/>
      <c r="F46" s="224"/>
      <c r="G46" s="221"/>
      <c r="H46" s="221"/>
    </row>
    <row r="47" spans="1:125" ht="23.25">
      <c r="A47" s="231"/>
      <c r="B47" s="222"/>
      <c r="C47" s="222"/>
      <c r="D47" s="222"/>
      <c r="E47" s="222"/>
      <c r="F47" s="224"/>
      <c r="G47" s="221"/>
      <c r="H47" s="221"/>
    </row>
    <row r="48" spans="1:125" s="30" customFormat="1" ht="23.25">
      <c r="A48" s="231"/>
      <c r="B48" s="222"/>
      <c r="C48" s="222"/>
      <c r="D48" s="222"/>
      <c r="E48" s="222"/>
      <c r="F48" s="224"/>
      <c r="G48" s="221"/>
      <c r="H48" s="22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1"/>
      <c r="BQ48" s="191"/>
      <c r="BR48" s="191"/>
      <c r="BS48" s="191"/>
      <c r="BT48" s="191"/>
      <c r="BU48" s="191"/>
      <c r="BV48" s="191"/>
      <c r="BW48" s="191"/>
      <c r="BX48" s="191"/>
      <c r="BY48" s="191"/>
      <c r="BZ48" s="191"/>
      <c r="CA48" s="191"/>
      <c r="CB48" s="191"/>
      <c r="CC48" s="191"/>
      <c r="CD48" s="191"/>
      <c r="CE48" s="191"/>
      <c r="CF48" s="191"/>
      <c r="CG48" s="191"/>
      <c r="CH48" s="191"/>
      <c r="CI48" s="191"/>
      <c r="CJ48" s="191"/>
      <c r="CK48" s="191"/>
      <c r="CL48" s="191"/>
      <c r="CM48" s="191"/>
      <c r="CN48" s="191"/>
      <c r="CO48" s="191"/>
      <c r="CP48" s="191"/>
      <c r="CQ48" s="191"/>
      <c r="CR48" s="191"/>
      <c r="CS48" s="191"/>
      <c r="CT48" s="191"/>
      <c r="CU48" s="191"/>
      <c r="CV48" s="191"/>
      <c r="CW48" s="191"/>
      <c r="CX48" s="191"/>
      <c r="CY48" s="191"/>
      <c r="CZ48" s="191"/>
      <c r="DA48" s="191"/>
      <c r="DB48" s="191"/>
      <c r="DC48" s="191"/>
      <c r="DD48" s="191"/>
      <c r="DE48" s="191"/>
      <c r="DF48" s="191"/>
      <c r="DG48" s="191"/>
      <c r="DH48" s="191"/>
      <c r="DI48" s="191"/>
      <c r="DJ48" s="191"/>
      <c r="DK48" s="191"/>
      <c r="DL48" s="191"/>
      <c r="DM48" s="191"/>
      <c r="DN48" s="191"/>
      <c r="DO48" s="191"/>
      <c r="DP48" s="191"/>
      <c r="DQ48" s="191"/>
      <c r="DR48" s="191"/>
      <c r="DS48" s="191"/>
      <c r="DT48" s="191"/>
      <c r="DU48" s="191"/>
    </row>
    <row r="49" spans="1:8" ht="23.25">
      <c r="A49" s="231"/>
      <c r="B49" s="222"/>
      <c r="C49" s="222"/>
      <c r="D49" s="222"/>
      <c r="E49" s="222"/>
      <c r="F49" s="224"/>
      <c r="G49" s="221"/>
      <c r="H49" s="221"/>
    </row>
    <row r="50" spans="1:8" ht="54.75" customHeight="1">
      <c r="A50" s="225"/>
      <c r="B50" s="226"/>
      <c r="C50" s="226"/>
      <c r="D50" s="226"/>
      <c r="E50" s="226"/>
      <c r="F50" s="221"/>
      <c r="G50" s="221"/>
      <c r="H50" s="221"/>
    </row>
    <row r="51" spans="1:8" ht="23.25">
      <c r="A51" s="231"/>
      <c r="B51" s="222"/>
      <c r="C51" s="235"/>
      <c r="D51" s="223"/>
      <c r="E51" s="222"/>
      <c r="F51" s="224"/>
      <c r="G51" s="221"/>
      <c r="H51" s="221"/>
    </row>
    <row r="52" spans="1:8" ht="18.75">
      <c r="A52" s="236"/>
      <c r="B52" s="237"/>
      <c r="C52" s="223"/>
      <c r="D52" s="223"/>
      <c r="E52" s="236"/>
      <c r="F52" s="236"/>
      <c r="G52" s="236"/>
      <c r="H52" s="236"/>
    </row>
    <row r="53" spans="1:8" ht="18.75">
      <c r="A53" s="236"/>
      <c r="B53" s="237"/>
      <c r="C53" s="223"/>
      <c r="D53" s="223"/>
      <c r="E53" s="236"/>
      <c r="F53" s="236"/>
      <c r="G53" s="236"/>
      <c r="H53" s="236"/>
    </row>
    <row r="54" spans="1:8" ht="18.75">
      <c r="A54" s="236"/>
      <c r="B54" s="236"/>
      <c r="C54" s="238"/>
      <c r="D54" s="236"/>
      <c r="E54" s="236"/>
      <c r="F54" s="236"/>
      <c r="G54" s="236"/>
      <c r="H54" s="236"/>
    </row>
    <row r="55" spans="1:8" ht="18.75">
      <c r="A55" s="236"/>
      <c r="B55" s="236"/>
      <c r="C55" s="238"/>
      <c r="D55" s="236"/>
      <c r="E55" s="236"/>
      <c r="F55" s="236"/>
      <c r="G55" s="236"/>
      <c r="H55" s="236"/>
    </row>
    <row r="56" spans="1:8" ht="28.5">
      <c r="A56" s="254"/>
      <c r="B56" s="254"/>
      <c r="C56" s="254"/>
      <c r="D56" s="254"/>
      <c r="E56" s="254"/>
      <c r="F56" s="254"/>
      <c r="G56" s="254"/>
      <c r="H56" s="254"/>
    </row>
    <row r="57" spans="1:8" ht="23.25">
      <c r="A57" s="229"/>
      <c r="B57" s="239"/>
      <c r="C57" s="230"/>
      <c r="D57" s="230"/>
      <c r="E57" s="230"/>
      <c r="F57" s="221"/>
      <c r="G57" s="239"/>
      <c r="H57" s="221"/>
    </row>
    <row r="58" spans="1:8" ht="23.25">
      <c r="A58" s="231"/>
      <c r="B58" s="222"/>
      <c r="C58" s="222"/>
      <c r="D58" s="222"/>
      <c r="E58" s="222"/>
      <c r="F58" s="221"/>
      <c r="G58" s="221"/>
      <c r="H58" s="221"/>
    </row>
    <row r="59" spans="1:8" ht="23.25">
      <c r="A59" s="231"/>
      <c r="B59" s="222"/>
      <c r="C59" s="222"/>
      <c r="D59" s="222"/>
      <c r="E59" s="222"/>
      <c r="F59" s="240"/>
      <c r="G59" s="221"/>
      <c r="H59" s="221"/>
    </row>
    <row r="60" spans="1:8" ht="23.25">
      <c r="A60" s="231"/>
      <c r="B60" s="222"/>
      <c r="C60" s="222"/>
      <c r="D60" s="222"/>
      <c r="E60" s="222"/>
      <c r="F60" s="241"/>
      <c r="G60" s="221"/>
      <c r="H60" s="221"/>
    </row>
    <row r="61" spans="1:8" ht="23.25">
      <c r="A61" s="231"/>
      <c r="B61" s="222"/>
      <c r="C61" s="222"/>
      <c r="D61" s="222"/>
      <c r="E61" s="222"/>
      <c r="F61" s="221"/>
      <c r="G61" s="221"/>
      <c r="H61" s="221"/>
    </row>
    <row r="62" spans="1:8" ht="23.25">
      <c r="A62" s="231"/>
      <c r="B62" s="222"/>
      <c r="C62" s="222"/>
      <c r="D62" s="222"/>
      <c r="E62" s="222"/>
      <c r="F62" s="221"/>
      <c r="G62" s="221"/>
      <c r="H62" s="221"/>
    </row>
    <row r="63" spans="1:8" ht="23.25">
      <c r="A63" s="231"/>
      <c r="B63" s="222"/>
      <c r="C63" s="222"/>
      <c r="D63" s="222"/>
      <c r="E63" s="222"/>
      <c r="F63" s="221"/>
      <c r="G63" s="221"/>
      <c r="H63" s="221"/>
    </row>
    <row r="64" spans="1:8" ht="23.25">
      <c r="A64" s="231"/>
      <c r="B64" s="221"/>
      <c r="C64" s="232"/>
      <c r="D64" s="232"/>
      <c r="E64" s="222"/>
      <c r="F64" s="221"/>
      <c r="G64" s="221"/>
      <c r="H64" s="221"/>
    </row>
    <row r="65" spans="1:8" ht="23.25">
      <c r="A65" s="231"/>
      <c r="B65" s="222"/>
      <c r="C65" s="222"/>
      <c r="D65" s="242"/>
      <c r="E65" s="222"/>
      <c r="F65" s="221"/>
      <c r="G65" s="221"/>
      <c r="H65" s="221"/>
    </row>
    <row r="66" spans="1:8" ht="23.25">
      <c r="A66" s="231"/>
      <c r="B66" s="222"/>
      <c r="C66" s="222"/>
      <c r="D66" s="222"/>
      <c r="E66" s="222"/>
      <c r="F66" s="221"/>
      <c r="G66" s="221"/>
      <c r="H66" s="221"/>
    </row>
    <row r="67" spans="1:8" ht="23.25">
      <c r="A67" s="231"/>
      <c r="B67" s="222"/>
      <c r="C67" s="222"/>
      <c r="D67" s="222"/>
      <c r="E67" s="222"/>
      <c r="F67" s="221"/>
      <c r="G67" s="221"/>
      <c r="H67" s="221"/>
    </row>
    <row r="68" spans="1:8" ht="23.25">
      <c r="A68" s="231"/>
      <c r="B68" s="222"/>
      <c r="C68" s="222"/>
      <c r="D68" s="222"/>
      <c r="E68" s="222"/>
      <c r="F68" s="221"/>
      <c r="G68" s="221"/>
      <c r="H68" s="221"/>
    </row>
    <row r="69" spans="1:8" ht="23.25">
      <c r="A69" s="231"/>
      <c r="B69" s="222"/>
      <c r="C69" s="222"/>
      <c r="D69" s="222"/>
      <c r="E69" s="222"/>
      <c r="F69" s="221"/>
      <c r="G69" s="221"/>
      <c r="H69" s="221"/>
    </row>
    <row r="70" spans="1:8" ht="23.25">
      <c r="A70" s="231"/>
      <c r="B70" s="222"/>
      <c r="C70" s="222"/>
      <c r="D70" s="222"/>
      <c r="E70" s="222"/>
      <c r="F70" s="221"/>
      <c r="G70" s="221"/>
      <c r="H70" s="221"/>
    </row>
    <row r="71" spans="1:8" ht="23.25">
      <c r="A71" s="231"/>
      <c r="B71" s="222"/>
      <c r="C71" s="222"/>
      <c r="D71" s="222"/>
      <c r="E71" s="222"/>
      <c r="F71" s="221"/>
      <c r="G71" s="221"/>
      <c r="H71" s="221"/>
    </row>
    <row r="72" spans="1:8" ht="23.25">
      <c r="A72" s="231"/>
      <c r="B72" s="222"/>
      <c r="C72" s="222"/>
      <c r="D72" s="222"/>
      <c r="E72" s="222"/>
      <c r="F72" s="221"/>
      <c r="G72" s="221"/>
      <c r="H72" s="221"/>
    </row>
    <row r="73" spans="1:8" ht="23.25">
      <c r="A73" s="231"/>
      <c r="B73" s="222"/>
      <c r="C73" s="222"/>
      <c r="D73" s="222"/>
      <c r="E73" s="222"/>
      <c r="F73" s="221"/>
      <c r="G73" s="221"/>
      <c r="H73" s="221"/>
    </row>
    <row r="74" spans="1:8" ht="23.25">
      <c r="A74" s="231"/>
      <c r="B74" s="222"/>
      <c r="C74" s="222"/>
      <c r="D74" s="222"/>
      <c r="E74" s="222"/>
      <c r="F74" s="221"/>
      <c r="G74" s="221"/>
      <c r="H74" s="221"/>
    </row>
    <row r="75" spans="1:8" s="191" customFormat="1" ht="23.25">
      <c r="A75" s="231"/>
      <c r="B75" s="222"/>
      <c r="C75" s="222"/>
      <c r="D75" s="222"/>
      <c r="E75" s="222"/>
      <c r="F75" s="221"/>
      <c r="G75" s="221"/>
      <c r="H75" s="221"/>
    </row>
    <row r="76" spans="1:8" ht="23.25">
      <c r="A76" s="231"/>
      <c r="B76" s="222"/>
      <c r="C76" s="222"/>
      <c r="D76" s="222"/>
      <c r="E76" s="222"/>
      <c r="F76" s="221"/>
      <c r="G76" s="221"/>
      <c r="H76" s="221"/>
    </row>
    <row r="77" spans="1:8" ht="63.75" customHeight="1">
      <c r="A77" s="225"/>
      <c r="B77" s="226"/>
      <c r="C77" s="226"/>
      <c r="D77" s="226"/>
      <c r="E77" s="226"/>
      <c r="F77" s="221"/>
      <c r="G77" s="221"/>
      <c r="H77" s="221"/>
    </row>
    <row r="78" spans="1:8" ht="15.75">
      <c r="A78" s="236"/>
      <c r="B78" s="236"/>
      <c r="C78" s="236"/>
      <c r="D78" s="223"/>
      <c r="E78" s="236"/>
      <c r="F78" s="236"/>
      <c r="G78" s="236"/>
      <c r="H78" s="236"/>
    </row>
    <row r="79" spans="1:8" ht="15.75">
      <c r="A79" s="236"/>
      <c r="B79" s="236"/>
      <c r="C79" s="236"/>
      <c r="D79" s="223"/>
      <c r="E79" s="236"/>
      <c r="F79" s="236"/>
      <c r="G79" s="236"/>
      <c r="H79" s="236"/>
    </row>
    <row r="80" spans="1:8" ht="15.75">
      <c r="A80" s="236"/>
      <c r="B80" s="236"/>
      <c r="C80" s="236"/>
      <c r="D80" s="223"/>
      <c r="E80" s="236"/>
      <c r="F80" s="236"/>
      <c r="G80" s="236"/>
      <c r="H80" s="236"/>
    </row>
    <row r="81" spans="1:8" ht="15.75">
      <c r="A81" s="236"/>
      <c r="B81" s="236"/>
      <c r="C81" s="236"/>
      <c r="D81" s="223"/>
      <c r="E81" s="236"/>
      <c r="F81" s="236"/>
      <c r="G81" s="236"/>
      <c r="H81" s="236"/>
    </row>
    <row r="82" spans="1:8">
      <c r="A82" s="236"/>
      <c r="B82" s="236"/>
      <c r="C82" s="236"/>
      <c r="D82" s="236"/>
      <c r="E82" s="236"/>
      <c r="F82" s="236"/>
      <c r="G82" s="236"/>
      <c r="H82" s="236"/>
    </row>
    <row r="83" spans="1:8" ht="28.5">
      <c r="A83" s="254"/>
      <c r="B83" s="254"/>
      <c r="C83" s="254"/>
      <c r="D83" s="254"/>
      <c r="E83" s="254"/>
      <c r="F83" s="254"/>
      <c r="G83" s="254"/>
      <c r="H83" s="254"/>
    </row>
    <row r="84" spans="1:8" ht="23.25">
      <c r="A84" s="229"/>
      <c r="B84" s="230"/>
      <c r="C84" s="230"/>
      <c r="D84" s="230"/>
      <c r="E84" s="230"/>
      <c r="F84" s="231"/>
      <c r="G84" s="230"/>
      <c r="H84" s="231"/>
    </row>
    <row r="85" spans="1:8" ht="23.25">
      <c r="A85" s="231"/>
      <c r="B85" s="222"/>
      <c r="C85" s="222"/>
      <c r="D85" s="222"/>
      <c r="E85" s="222"/>
      <c r="F85" s="221"/>
      <c r="G85" s="232"/>
      <c r="H85" s="221"/>
    </row>
    <row r="86" spans="1:8" ht="23.25">
      <c r="A86" s="231"/>
      <c r="B86" s="222"/>
      <c r="C86" s="222"/>
      <c r="D86" s="222"/>
      <c r="E86" s="222"/>
      <c r="F86" s="221"/>
      <c r="G86" s="232"/>
      <c r="H86" s="221"/>
    </row>
    <row r="87" spans="1:8" ht="23.25">
      <c r="A87" s="231"/>
      <c r="B87" s="222"/>
      <c r="C87" s="222"/>
      <c r="D87" s="222"/>
      <c r="E87" s="222"/>
      <c r="F87" s="221"/>
      <c r="G87" s="232"/>
      <c r="H87" s="221"/>
    </row>
    <row r="88" spans="1:8" ht="23.25">
      <c r="A88" s="231"/>
      <c r="B88" s="222"/>
      <c r="C88" s="222"/>
      <c r="D88" s="222"/>
      <c r="E88" s="222"/>
      <c r="F88" s="221"/>
      <c r="G88" s="232"/>
      <c r="H88" s="221"/>
    </row>
    <row r="89" spans="1:8" ht="23.25">
      <c r="A89" s="231"/>
      <c r="B89" s="222"/>
      <c r="C89" s="222"/>
      <c r="D89" s="222"/>
      <c r="E89" s="222"/>
      <c r="F89" s="221"/>
      <c r="G89" s="232"/>
      <c r="H89" s="221"/>
    </row>
    <row r="90" spans="1:8" ht="23.25">
      <c r="A90" s="231"/>
      <c r="B90" s="222"/>
      <c r="C90" s="222"/>
      <c r="D90" s="222"/>
      <c r="E90" s="222"/>
      <c r="F90" s="221"/>
      <c r="G90" s="232"/>
      <c r="H90" s="221"/>
    </row>
    <row r="91" spans="1:8" ht="23.25">
      <c r="A91" s="231"/>
      <c r="B91" s="232"/>
      <c r="C91" s="232"/>
      <c r="D91" s="221"/>
      <c r="E91" s="222"/>
      <c r="F91" s="221"/>
      <c r="G91" s="221"/>
      <c r="H91" s="221"/>
    </row>
    <row r="92" spans="1:8" ht="23.25">
      <c r="A92" s="231"/>
      <c r="B92" s="222"/>
      <c r="C92" s="222"/>
      <c r="D92" s="222"/>
      <c r="E92" s="222"/>
      <c r="F92" s="221"/>
      <c r="G92" s="221"/>
      <c r="H92" s="221"/>
    </row>
    <row r="93" spans="1:8" ht="23.25">
      <c r="A93" s="231"/>
      <c r="B93" s="222"/>
      <c r="C93" s="222"/>
      <c r="D93" s="222"/>
      <c r="E93" s="222"/>
      <c r="F93" s="221"/>
      <c r="G93" s="221"/>
      <c r="H93" s="221"/>
    </row>
    <row r="94" spans="1:8" ht="23.25">
      <c r="A94" s="231"/>
      <c r="B94" s="222"/>
      <c r="C94" s="222"/>
      <c r="D94" s="222"/>
      <c r="E94" s="222"/>
      <c r="F94" s="221"/>
      <c r="G94" s="221"/>
      <c r="H94" s="221"/>
    </row>
    <row r="95" spans="1:8" ht="23.25">
      <c r="A95" s="231"/>
      <c r="B95" s="222"/>
      <c r="C95" s="222"/>
      <c r="D95" s="222"/>
      <c r="E95" s="222"/>
      <c r="F95" s="221"/>
      <c r="G95" s="221"/>
      <c r="H95" s="221"/>
    </row>
    <row r="96" spans="1:8" ht="23.25">
      <c r="A96" s="231"/>
      <c r="B96" s="222"/>
      <c r="C96" s="222"/>
      <c r="D96" s="222"/>
      <c r="E96" s="222"/>
      <c r="F96" s="221"/>
      <c r="G96" s="221"/>
      <c r="H96" s="221"/>
    </row>
    <row r="97" spans="1:8" ht="23.25">
      <c r="A97" s="231"/>
      <c r="B97" s="222"/>
      <c r="C97" s="222"/>
      <c r="D97" s="222"/>
      <c r="E97" s="222"/>
      <c r="F97" s="221"/>
      <c r="G97" s="221"/>
      <c r="H97" s="221"/>
    </row>
    <row r="98" spans="1:8" ht="23.25">
      <c r="A98" s="231"/>
      <c r="B98" s="222"/>
      <c r="C98" s="222"/>
      <c r="D98" s="222"/>
      <c r="E98" s="222"/>
      <c r="F98" s="221"/>
      <c r="G98" s="221"/>
      <c r="H98" s="221"/>
    </row>
    <row r="99" spans="1:8" ht="23.25">
      <c r="A99" s="231"/>
      <c r="B99" s="222"/>
      <c r="C99" s="222"/>
      <c r="D99" s="222"/>
      <c r="E99" s="222"/>
      <c r="F99" s="221"/>
      <c r="G99" s="221"/>
      <c r="H99" s="221"/>
    </row>
    <row r="100" spans="1:8" ht="23.25">
      <c r="A100" s="231"/>
      <c r="B100" s="222"/>
      <c r="C100" s="222"/>
      <c r="D100" s="222"/>
      <c r="E100" s="222"/>
      <c r="F100" s="221"/>
      <c r="G100" s="221"/>
      <c r="H100" s="221"/>
    </row>
    <row r="101" spans="1:8" ht="23.25">
      <c r="A101" s="231"/>
      <c r="B101" s="222"/>
      <c r="C101" s="222"/>
      <c r="D101" s="222"/>
      <c r="E101" s="222"/>
      <c r="F101" s="221"/>
      <c r="G101" s="221"/>
      <c r="H101" s="221"/>
    </row>
    <row r="102" spans="1:8" s="191" customFormat="1" ht="23.25">
      <c r="A102" s="231"/>
      <c r="B102" s="222"/>
      <c r="C102" s="222"/>
      <c r="D102" s="222"/>
      <c r="E102" s="222"/>
      <c r="F102" s="221"/>
      <c r="G102" s="221"/>
      <c r="H102" s="221"/>
    </row>
    <row r="103" spans="1:8" ht="23.25">
      <c r="A103" s="231"/>
      <c r="B103" s="222"/>
      <c r="C103" s="222"/>
      <c r="D103" s="222"/>
      <c r="E103" s="222"/>
      <c r="F103" s="221"/>
      <c r="G103" s="221"/>
      <c r="H103" s="221"/>
    </row>
    <row r="104" spans="1:8" ht="55.5" customHeight="1">
      <c r="A104" s="225"/>
      <c r="B104" s="226"/>
      <c r="C104" s="226"/>
      <c r="D104" s="226"/>
      <c r="E104" s="226"/>
      <c r="F104" s="221"/>
      <c r="G104" s="221"/>
      <c r="H104" s="221"/>
    </row>
    <row r="105" spans="1:8">
      <c r="A105" s="236"/>
      <c r="B105" s="236"/>
      <c r="C105" s="236"/>
      <c r="D105" s="243"/>
      <c r="E105" s="236"/>
      <c r="F105" s="236"/>
      <c r="G105" s="236"/>
      <c r="H105" s="236"/>
    </row>
    <row r="106" spans="1:8" ht="15.75">
      <c r="A106" s="236"/>
      <c r="B106" s="236"/>
      <c r="C106" s="236"/>
      <c r="D106" s="223"/>
      <c r="E106" s="236"/>
      <c r="F106" s="236"/>
      <c r="G106" s="236"/>
      <c r="H106" s="236"/>
    </row>
    <row r="107" spans="1:8" ht="15.75">
      <c r="A107" s="236"/>
      <c r="B107" s="236"/>
      <c r="C107" s="236"/>
      <c r="D107" s="223"/>
      <c r="E107" s="236"/>
      <c r="F107" s="236"/>
      <c r="G107" s="236"/>
      <c r="H107" s="236"/>
    </row>
    <row r="108" spans="1:8" ht="15.75">
      <c r="A108" s="236"/>
      <c r="B108" s="236"/>
      <c r="C108" s="236"/>
      <c r="D108" s="223"/>
      <c r="E108" s="236"/>
      <c r="F108" s="236"/>
      <c r="G108" s="236"/>
      <c r="H108" s="236"/>
    </row>
    <row r="109" spans="1:8" ht="15.75">
      <c r="A109" s="236"/>
      <c r="B109" s="236"/>
      <c r="C109" s="236"/>
      <c r="D109" s="223"/>
      <c r="E109" s="236"/>
      <c r="F109" s="236"/>
      <c r="G109" s="236"/>
      <c r="H109" s="236"/>
    </row>
    <row r="110" spans="1:8" ht="28.5">
      <c r="A110" s="254"/>
      <c r="B110" s="254"/>
      <c r="C110" s="254"/>
      <c r="D110" s="254"/>
      <c r="E110" s="254"/>
      <c r="F110" s="254"/>
      <c r="G110" s="254"/>
      <c r="H110" s="254"/>
    </row>
    <row r="111" spans="1:8" ht="23.25">
      <c r="A111" s="229"/>
      <c r="B111" s="230"/>
      <c r="C111" s="230"/>
      <c r="D111" s="230"/>
      <c r="E111" s="230"/>
      <c r="F111" s="231"/>
      <c r="G111" s="230"/>
      <c r="H111" s="231"/>
    </row>
    <row r="112" spans="1:8" ht="23.25">
      <c r="A112" s="231"/>
      <c r="B112" s="222"/>
      <c r="C112" s="222"/>
      <c r="D112" s="222"/>
      <c r="E112" s="222"/>
      <c r="F112" s="221"/>
      <c r="G112" s="221"/>
      <c r="H112" s="221"/>
    </row>
    <row r="113" spans="1:8" ht="23.25">
      <c r="A113" s="231"/>
      <c r="B113" s="222"/>
      <c r="C113" s="222"/>
      <c r="D113" s="222"/>
      <c r="E113" s="222"/>
      <c r="F113" s="221"/>
      <c r="G113" s="221"/>
      <c r="H113" s="221"/>
    </row>
    <row r="114" spans="1:8" ht="23.25">
      <c r="A114" s="231"/>
      <c r="B114" s="222"/>
      <c r="C114" s="222"/>
      <c r="D114" s="222"/>
      <c r="E114" s="222"/>
      <c r="F114" s="221"/>
      <c r="G114" s="221"/>
      <c r="H114" s="221"/>
    </row>
    <row r="115" spans="1:8" ht="23.25">
      <c r="A115" s="231"/>
      <c r="B115" s="222"/>
      <c r="C115" s="222"/>
      <c r="D115" s="222"/>
      <c r="E115" s="222"/>
      <c r="F115" s="221"/>
      <c r="G115" s="221"/>
      <c r="H115" s="221"/>
    </row>
    <row r="116" spans="1:8" ht="23.25">
      <c r="A116" s="231"/>
      <c r="B116" s="222"/>
      <c r="C116" s="222"/>
      <c r="D116" s="222"/>
      <c r="E116" s="222"/>
      <c r="F116" s="221"/>
      <c r="G116" s="221"/>
      <c r="H116" s="221"/>
    </row>
    <row r="117" spans="1:8" ht="23.25">
      <c r="A117" s="231"/>
      <c r="B117" s="222"/>
      <c r="C117" s="222"/>
      <c r="D117" s="222"/>
      <c r="E117" s="222"/>
      <c r="F117" s="221"/>
      <c r="G117" s="221"/>
      <c r="H117" s="221"/>
    </row>
    <row r="118" spans="1:8" ht="23.25">
      <c r="A118" s="231"/>
      <c r="B118" s="232"/>
      <c r="C118" s="232"/>
      <c r="D118" s="221"/>
      <c r="E118" s="222"/>
      <c r="F118" s="221"/>
      <c r="G118" s="221"/>
      <c r="H118" s="221"/>
    </row>
    <row r="119" spans="1:8" ht="23.25">
      <c r="A119" s="231"/>
      <c r="B119" s="222"/>
      <c r="C119" s="222"/>
      <c r="D119" s="222"/>
      <c r="E119" s="222"/>
      <c r="F119" s="221"/>
      <c r="G119" s="221"/>
      <c r="H119" s="221"/>
    </row>
    <row r="120" spans="1:8" ht="23.25">
      <c r="A120" s="231"/>
      <c r="B120" s="222"/>
      <c r="C120" s="222"/>
      <c r="D120" s="222"/>
      <c r="E120" s="222"/>
      <c r="F120" s="221"/>
      <c r="G120" s="221"/>
      <c r="H120" s="221"/>
    </row>
    <row r="121" spans="1:8" ht="23.25">
      <c r="A121" s="231"/>
      <c r="B121" s="222"/>
      <c r="C121" s="222"/>
      <c r="D121" s="222"/>
      <c r="E121" s="222"/>
      <c r="F121" s="221"/>
      <c r="G121" s="221"/>
      <c r="H121" s="221"/>
    </row>
    <row r="122" spans="1:8" ht="23.25">
      <c r="A122" s="231"/>
      <c r="B122" s="222"/>
      <c r="C122" s="222"/>
      <c r="D122" s="222"/>
      <c r="E122" s="222"/>
      <c r="F122" s="221"/>
      <c r="G122" s="221"/>
      <c r="H122" s="221"/>
    </row>
    <row r="123" spans="1:8" ht="23.25">
      <c r="A123" s="231"/>
      <c r="B123" s="222"/>
      <c r="C123" s="222"/>
      <c r="D123" s="222"/>
      <c r="E123" s="222"/>
      <c r="F123" s="221"/>
      <c r="G123" s="221"/>
      <c r="H123" s="221"/>
    </row>
    <row r="124" spans="1:8" ht="23.25">
      <c r="A124" s="231"/>
      <c r="B124" s="222"/>
      <c r="C124" s="222"/>
      <c r="D124" s="222"/>
      <c r="E124" s="222"/>
      <c r="F124" s="221"/>
      <c r="G124" s="221"/>
      <c r="H124" s="221"/>
    </row>
    <row r="125" spans="1:8" ht="23.25">
      <c r="A125" s="231"/>
      <c r="B125" s="222"/>
      <c r="C125" s="222"/>
      <c r="D125" s="222"/>
      <c r="E125" s="222"/>
      <c r="F125" s="221"/>
      <c r="G125" s="221"/>
      <c r="H125" s="221"/>
    </row>
    <row r="126" spans="1:8" ht="23.25">
      <c r="A126" s="231"/>
      <c r="B126" s="222"/>
      <c r="C126" s="222"/>
      <c r="D126" s="222"/>
      <c r="E126" s="222"/>
      <c r="F126" s="221"/>
      <c r="G126" s="221"/>
      <c r="H126" s="221"/>
    </row>
    <row r="127" spans="1:8" ht="23.25">
      <c r="A127" s="231"/>
      <c r="B127" s="222"/>
      <c r="C127" s="222"/>
      <c r="D127" s="222"/>
      <c r="E127" s="222"/>
      <c r="F127" s="221"/>
      <c r="G127" s="221"/>
      <c r="H127" s="221"/>
    </row>
    <row r="128" spans="1:8" ht="23.25">
      <c r="A128" s="231"/>
      <c r="B128" s="222"/>
      <c r="C128" s="222"/>
      <c r="D128" s="222"/>
      <c r="E128" s="222"/>
      <c r="F128" s="221"/>
      <c r="G128" s="221"/>
      <c r="H128" s="221"/>
    </row>
    <row r="129" spans="1:8" s="191" customFormat="1" ht="23.25">
      <c r="A129" s="231"/>
      <c r="B129" s="222"/>
      <c r="C129" s="222"/>
      <c r="D129" s="222"/>
      <c r="E129" s="222"/>
      <c r="F129" s="221"/>
      <c r="G129" s="221"/>
      <c r="H129" s="221"/>
    </row>
    <row r="130" spans="1:8" ht="23.25">
      <c r="A130" s="231"/>
      <c r="B130" s="222"/>
      <c r="C130" s="222"/>
      <c r="D130" s="222"/>
      <c r="E130" s="222"/>
      <c r="F130" s="221"/>
      <c r="G130" s="221"/>
      <c r="H130" s="221"/>
    </row>
    <row r="131" spans="1:8" ht="23.25">
      <c r="A131" s="231"/>
      <c r="B131" s="226"/>
      <c r="C131" s="226"/>
      <c r="D131" s="226"/>
      <c r="E131" s="226"/>
      <c r="F131" s="221"/>
      <c r="G131" s="221"/>
      <c r="H131" s="221"/>
    </row>
    <row r="132" spans="1:8" ht="18.75">
      <c r="A132" s="244"/>
      <c r="B132" s="236"/>
      <c r="C132" s="245"/>
      <c r="D132" s="236"/>
      <c r="E132" s="236"/>
      <c r="F132" s="236"/>
      <c r="G132" s="236"/>
      <c r="H132" s="236"/>
    </row>
    <row r="133" spans="1:8" ht="18.75">
      <c r="A133" s="244"/>
      <c r="B133" s="236"/>
      <c r="C133" s="245"/>
      <c r="D133" s="236"/>
      <c r="E133" s="236"/>
      <c r="F133" s="236"/>
      <c r="G133" s="236"/>
      <c r="H133" s="236"/>
    </row>
    <row r="134" spans="1:8" ht="18.75">
      <c r="A134" s="244"/>
      <c r="B134" s="236"/>
      <c r="C134" s="245"/>
      <c r="D134" s="236"/>
      <c r="E134" s="236"/>
      <c r="F134" s="236"/>
      <c r="G134" s="236"/>
      <c r="H134" s="236"/>
    </row>
    <row r="135" spans="1:8" ht="18.75">
      <c r="A135" s="244"/>
      <c r="B135" s="236"/>
      <c r="C135" s="245"/>
      <c r="D135" s="236"/>
      <c r="E135" s="236"/>
      <c r="F135" s="236"/>
      <c r="G135" s="236"/>
      <c r="H135" s="236"/>
    </row>
    <row r="136" spans="1:8">
      <c r="A136" s="236"/>
      <c r="B136" s="236"/>
      <c r="C136" s="236"/>
      <c r="D136" s="236"/>
      <c r="E136" s="236"/>
      <c r="F136" s="236"/>
      <c r="G136" s="236"/>
      <c r="H136" s="236"/>
    </row>
    <row r="137" spans="1:8" ht="28.5">
      <c r="A137" s="254"/>
      <c r="B137" s="254"/>
      <c r="C137" s="254"/>
      <c r="D137" s="254"/>
      <c r="E137" s="254"/>
      <c r="F137" s="254"/>
      <c r="G137" s="254"/>
      <c r="H137" s="254"/>
    </row>
    <row r="138" spans="1:8" ht="23.25">
      <c r="A138" s="229"/>
      <c r="B138" s="230"/>
      <c r="C138" s="230"/>
      <c r="D138" s="230"/>
      <c r="E138" s="230"/>
      <c r="F138" s="231"/>
      <c r="G138" s="230"/>
      <c r="H138" s="231"/>
    </row>
    <row r="139" spans="1:8" ht="23.25">
      <c r="A139" s="231"/>
      <c r="B139" s="222"/>
      <c r="C139" s="222"/>
      <c r="D139" s="222"/>
      <c r="E139" s="222"/>
      <c r="F139" s="221"/>
      <c r="G139" s="221"/>
      <c r="H139" s="221"/>
    </row>
    <row r="140" spans="1:8" ht="23.25">
      <c r="A140" s="231"/>
      <c r="B140" s="222"/>
      <c r="C140" s="222"/>
      <c r="D140" s="222"/>
      <c r="E140" s="222"/>
      <c r="F140" s="221"/>
      <c r="G140" s="221"/>
      <c r="H140" s="221"/>
    </row>
    <row r="141" spans="1:8" ht="23.25">
      <c r="A141" s="231"/>
      <c r="B141" s="222"/>
      <c r="C141" s="222"/>
      <c r="D141" s="222"/>
      <c r="E141" s="222"/>
      <c r="F141" s="221"/>
      <c r="G141" s="221"/>
      <c r="H141" s="221"/>
    </row>
    <row r="142" spans="1:8" ht="23.25">
      <c r="A142" s="231"/>
      <c r="B142" s="222"/>
      <c r="C142" s="222"/>
      <c r="D142" s="222"/>
      <c r="E142" s="222"/>
      <c r="F142" s="221"/>
      <c r="G142" s="221"/>
      <c r="H142" s="221"/>
    </row>
    <row r="143" spans="1:8" ht="23.25">
      <c r="A143" s="231"/>
      <c r="B143" s="222"/>
      <c r="C143" s="222"/>
      <c r="D143" s="222"/>
      <c r="E143" s="222"/>
      <c r="F143" s="221"/>
      <c r="G143" s="221"/>
      <c r="H143" s="221"/>
    </row>
    <row r="144" spans="1:8" ht="23.25">
      <c r="A144" s="231"/>
      <c r="B144" s="222"/>
      <c r="C144" s="222"/>
      <c r="D144" s="222"/>
      <c r="E144" s="222"/>
      <c r="F144" s="221"/>
      <c r="G144" s="221"/>
      <c r="H144" s="221"/>
    </row>
    <row r="145" spans="1:8" ht="23.25">
      <c r="A145" s="231"/>
      <c r="B145" s="221"/>
      <c r="C145" s="221"/>
      <c r="D145" s="232"/>
      <c r="E145" s="222"/>
      <c r="F145" s="221"/>
      <c r="G145" s="221"/>
      <c r="H145" s="221"/>
    </row>
    <row r="146" spans="1:8" ht="23.25">
      <c r="A146" s="231"/>
      <c r="B146" s="222"/>
      <c r="C146" s="222"/>
      <c r="D146" s="242"/>
      <c r="E146" s="222"/>
      <c r="F146" s="221"/>
      <c r="G146" s="221"/>
      <c r="H146" s="221"/>
    </row>
    <row r="147" spans="1:8" ht="23.25">
      <c r="A147" s="231"/>
      <c r="B147" s="222"/>
      <c r="C147" s="222"/>
      <c r="D147" s="222"/>
      <c r="E147" s="222"/>
      <c r="F147" s="221"/>
      <c r="G147" s="221"/>
      <c r="H147" s="221"/>
    </row>
    <row r="148" spans="1:8" ht="23.25">
      <c r="A148" s="231"/>
      <c r="B148" s="222"/>
      <c r="C148" s="222"/>
      <c r="D148" s="222"/>
      <c r="E148" s="222"/>
      <c r="F148" s="221"/>
      <c r="G148" s="221"/>
      <c r="H148" s="221"/>
    </row>
    <row r="149" spans="1:8" ht="23.25">
      <c r="A149" s="231"/>
      <c r="B149" s="222"/>
      <c r="C149" s="222"/>
      <c r="D149" s="222"/>
      <c r="E149" s="222"/>
      <c r="F149" s="221"/>
      <c r="G149" s="221"/>
      <c r="H149" s="221"/>
    </row>
    <row r="150" spans="1:8" ht="23.25">
      <c r="A150" s="231"/>
      <c r="B150" s="222"/>
      <c r="C150" s="222"/>
      <c r="D150" s="222"/>
      <c r="E150" s="222"/>
      <c r="F150" s="221"/>
      <c r="G150" s="221"/>
      <c r="H150" s="221"/>
    </row>
    <row r="151" spans="1:8" ht="23.25">
      <c r="A151" s="231"/>
      <c r="B151" s="222"/>
      <c r="C151" s="222"/>
      <c r="D151" s="222"/>
      <c r="E151" s="222"/>
      <c r="F151" s="221"/>
      <c r="G151" s="221"/>
      <c r="H151" s="221"/>
    </row>
    <row r="152" spans="1:8" ht="23.25">
      <c r="A152" s="231"/>
      <c r="B152" s="222"/>
      <c r="C152" s="222"/>
      <c r="D152" s="222"/>
      <c r="E152" s="222"/>
      <c r="F152" s="221"/>
      <c r="G152" s="221"/>
      <c r="H152" s="221"/>
    </row>
    <row r="153" spans="1:8" ht="23.25">
      <c r="A153" s="231"/>
      <c r="B153" s="222"/>
      <c r="C153" s="222"/>
      <c r="D153" s="222"/>
      <c r="E153" s="222"/>
      <c r="F153" s="221"/>
      <c r="G153" s="221"/>
      <c r="H153" s="221"/>
    </row>
    <row r="154" spans="1:8" ht="23.25">
      <c r="A154" s="231"/>
      <c r="B154" s="222"/>
      <c r="C154" s="222"/>
      <c r="D154" s="222"/>
      <c r="E154" s="222"/>
      <c r="F154" s="221"/>
      <c r="G154" s="221"/>
      <c r="H154" s="221"/>
    </row>
    <row r="155" spans="1:8" ht="23.25">
      <c r="A155" s="231"/>
      <c r="B155" s="222"/>
      <c r="C155" s="222"/>
      <c r="D155" s="222"/>
      <c r="E155" s="222"/>
      <c r="F155" s="221"/>
      <c r="G155" s="221"/>
      <c r="H155" s="221"/>
    </row>
    <row r="156" spans="1:8" s="191" customFormat="1" ht="23.25">
      <c r="A156" s="231"/>
      <c r="B156" s="222"/>
      <c r="C156" s="222"/>
      <c r="D156" s="222"/>
      <c r="E156" s="222"/>
      <c r="F156" s="221"/>
      <c r="G156" s="221"/>
      <c r="H156" s="221"/>
    </row>
    <row r="157" spans="1:8" ht="23.25">
      <c r="A157" s="231"/>
      <c r="B157" s="222"/>
      <c r="C157" s="222"/>
      <c r="D157" s="222"/>
      <c r="E157" s="222"/>
      <c r="F157" s="221"/>
      <c r="G157" s="221"/>
      <c r="H157" s="221"/>
    </row>
    <row r="158" spans="1:8" ht="23.25">
      <c r="A158" s="231"/>
      <c r="B158" s="226"/>
      <c r="C158" s="226"/>
      <c r="D158" s="226"/>
      <c r="E158" s="226"/>
      <c r="F158" s="221"/>
      <c r="G158" s="221"/>
      <c r="H158" s="221"/>
    </row>
    <row r="159" spans="1:8" ht="18.75">
      <c r="A159" s="244"/>
      <c r="B159" s="236"/>
      <c r="C159" s="236"/>
      <c r="D159" s="236"/>
      <c r="E159" s="236"/>
      <c r="F159" s="236"/>
      <c r="G159" s="236"/>
      <c r="H159" s="236"/>
    </row>
    <row r="160" spans="1:8" ht="23.25">
      <c r="A160" s="231"/>
      <c r="B160" s="236"/>
      <c r="C160" s="236"/>
      <c r="D160" s="236"/>
      <c r="E160" s="236"/>
      <c r="F160" s="236"/>
      <c r="G160" s="236"/>
      <c r="H160" s="236"/>
    </row>
    <row r="161" spans="1:8">
      <c r="A161" s="236"/>
      <c r="B161" s="236"/>
      <c r="C161" s="236"/>
      <c r="D161" s="236"/>
      <c r="E161" s="236"/>
      <c r="F161" s="236"/>
      <c r="G161" s="236"/>
      <c r="H161" s="236"/>
    </row>
    <row r="162" spans="1:8">
      <c r="A162" s="236"/>
      <c r="B162" s="236"/>
      <c r="C162" s="236"/>
      <c r="D162" s="236"/>
      <c r="E162" s="236"/>
      <c r="F162" s="236"/>
      <c r="G162" s="236"/>
      <c r="H162" s="236"/>
    </row>
    <row r="163" spans="1:8">
      <c r="A163" s="236"/>
      <c r="B163" s="236"/>
      <c r="C163" s="236"/>
      <c r="D163" s="236"/>
      <c r="E163" s="236"/>
      <c r="F163" s="236"/>
      <c r="G163" s="236"/>
      <c r="H163" s="236"/>
    </row>
    <row r="164" spans="1:8" ht="28.5">
      <c r="A164" s="254"/>
      <c r="B164" s="254"/>
      <c r="C164" s="254"/>
      <c r="D164" s="254"/>
      <c r="E164" s="254"/>
      <c r="F164" s="254"/>
      <c r="G164" s="254"/>
      <c r="H164" s="254"/>
    </row>
    <row r="165" spans="1:8" ht="23.25">
      <c r="A165" s="229"/>
      <c r="B165" s="239"/>
      <c r="C165" s="230"/>
      <c r="D165" s="230"/>
      <c r="E165" s="230"/>
      <c r="F165" s="221"/>
      <c r="G165" s="239"/>
      <c r="H165" s="221"/>
    </row>
    <row r="166" spans="1:8" ht="23.25">
      <c r="A166" s="231"/>
      <c r="B166" s="222"/>
      <c r="C166" s="222"/>
      <c r="D166" s="222"/>
      <c r="E166" s="222"/>
      <c r="F166" s="221"/>
      <c r="G166" s="221"/>
      <c r="H166" s="221"/>
    </row>
    <row r="167" spans="1:8" ht="23.25">
      <c r="A167" s="231"/>
      <c r="B167" s="222"/>
      <c r="C167" s="222"/>
      <c r="D167" s="222"/>
      <c r="E167" s="222"/>
      <c r="F167" s="246"/>
      <c r="G167" s="221"/>
      <c r="H167" s="221"/>
    </row>
    <row r="168" spans="1:8" ht="23.25">
      <c r="A168" s="231"/>
      <c r="B168" s="222"/>
      <c r="C168" s="222"/>
      <c r="D168" s="222"/>
      <c r="E168" s="222"/>
      <c r="F168" s="241"/>
      <c r="G168" s="221"/>
      <c r="H168" s="221"/>
    </row>
    <row r="169" spans="1:8" ht="23.25">
      <c r="A169" s="231"/>
      <c r="B169" s="222"/>
      <c r="C169" s="222"/>
      <c r="D169" s="222"/>
      <c r="E169" s="222"/>
      <c r="F169" s="221"/>
      <c r="G169" s="221"/>
      <c r="H169" s="221"/>
    </row>
    <row r="170" spans="1:8" ht="23.25">
      <c r="A170" s="231"/>
      <c r="B170" s="222"/>
      <c r="C170" s="222"/>
      <c r="D170" s="222"/>
      <c r="E170" s="222"/>
      <c r="F170" s="221"/>
      <c r="G170" s="221"/>
      <c r="H170" s="221"/>
    </row>
    <row r="171" spans="1:8" ht="23.25">
      <c r="A171" s="231"/>
      <c r="B171" s="247"/>
      <c r="C171" s="248"/>
      <c r="D171" s="248"/>
      <c r="E171" s="222"/>
      <c r="F171" s="221"/>
      <c r="G171" s="221"/>
      <c r="H171" s="221"/>
    </row>
    <row r="172" spans="1:8" ht="23.25">
      <c r="A172" s="231"/>
      <c r="B172" s="222"/>
      <c r="C172" s="222"/>
      <c r="D172" s="222"/>
      <c r="E172" s="222"/>
      <c r="F172" s="221"/>
      <c r="G172" s="221"/>
      <c r="H172" s="221"/>
    </row>
    <row r="173" spans="1:8" ht="23.25">
      <c r="A173" s="231"/>
      <c r="B173" s="232"/>
      <c r="C173" s="221"/>
      <c r="D173" s="221"/>
      <c r="E173" s="222"/>
      <c r="F173" s="221"/>
      <c r="G173" s="221"/>
      <c r="H173" s="221"/>
    </row>
    <row r="174" spans="1:8" ht="23.25">
      <c r="A174" s="231"/>
      <c r="B174" s="222"/>
      <c r="C174" s="222"/>
      <c r="D174" s="222"/>
      <c r="E174" s="222"/>
      <c r="F174" s="221"/>
      <c r="G174" s="221"/>
      <c r="H174" s="221"/>
    </row>
    <row r="175" spans="1:8" ht="23.25">
      <c r="A175" s="231"/>
      <c r="B175" s="222"/>
      <c r="C175" s="222"/>
      <c r="D175" s="222"/>
      <c r="E175" s="222"/>
      <c r="F175" s="221"/>
      <c r="G175" s="221"/>
      <c r="H175" s="221"/>
    </row>
    <row r="176" spans="1:8" ht="23.25">
      <c r="A176" s="231"/>
      <c r="B176" s="222"/>
      <c r="C176" s="222"/>
      <c r="D176" s="222"/>
      <c r="E176" s="222"/>
      <c r="F176" s="221"/>
      <c r="G176" s="221"/>
      <c r="H176" s="221"/>
    </row>
    <row r="177" spans="1:9" ht="23.25">
      <c r="A177" s="231"/>
      <c r="B177" s="222"/>
      <c r="C177" s="222"/>
      <c r="D177" s="222"/>
      <c r="E177" s="222"/>
      <c r="F177" s="221"/>
      <c r="G177" s="221"/>
      <c r="H177" s="221"/>
    </row>
    <row r="178" spans="1:9" ht="23.25">
      <c r="A178" s="231"/>
      <c r="B178" s="222"/>
      <c r="C178" s="222"/>
      <c r="D178" s="222"/>
      <c r="E178" s="222"/>
      <c r="F178" s="221"/>
      <c r="G178" s="221"/>
      <c r="H178" s="221"/>
    </row>
    <row r="179" spans="1:9" ht="23.25">
      <c r="A179" s="231"/>
      <c r="B179" s="222"/>
      <c r="C179" s="222"/>
      <c r="D179" s="222"/>
      <c r="E179" s="222"/>
      <c r="F179" s="221"/>
      <c r="G179" s="221"/>
      <c r="H179" s="221"/>
    </row>
    <row r="180" spans="1:9" ht="23.25">
      <c r="A180" s="231"/>
      <c r="B180" s="222"/>
      <c r="C180" s="222"/>
      <c r="D180" s="222"/>
      <c r="E180" s="222"/>
      <c r="F180" s="221"/>
      <c r="G180" s="221"/>
      <c r="H180" s="221"/>
    </row>
    <row r="181" spans="1:9" ht="23.25">
      <c r="A181" s="231"/>
      <c r="B181" s="222"/>
      <c r="C181" s="222"/>
      <c r="D181" s="222"/>
      <c r="E181" s="222"/>
      <c r="F181" s="221"/>
      <c r="G181" s="221"/>
      <c r="H181" s="221"/>
    </row>
    <row r="182" spans="1:9" ht="23.25">
      <c r="A182" s="231"/>
      <c r="B182" s="222"/>
      <c r="C182" s="222"/>
      <c r="D182" s="222"/>
      <c r="E182" s="222"/>
      <c r="F182" s="221"/>
      <c r="G182" s="221"/>
      <c r="H182" s="221"/>
    </row>
    <row r="183" spans="1:9" ht="23.25">
      <c r="A183" s="231"/>
      <c r="B183" s="222"/>
      <c r="C183" s="222"/>
      <c r="D183" s="222"/>
      <c r="E183" s="222"/>
      <c r="F183" s="221"/>
      <c r="G183" s="221"/>
      <c r="H183" s="221"/>
    </row>
    <row r="184" spans="1:9" s="191" customFormat="1" ht="23.25">
      <c r="A184" s="231"/>
      <c r="B184" s="222"/>
      <c r="C184" s="249"/>
      <c r="D184" s="222"/>
      <c r="E184" s="222"/>
      <c r="F184" s="221"/>
      <c r="G184" s="221"/>
      <c r="H184" s="221"/>
    </row>
    <row r="185" spans="1:9" ht="23.25">
      <c r="A185" s="231"/>
      <c r="B185" s="222"/>
      <c r="C185" s="222"/>
      <c r="D185" s="222"/>
      <c r="E185" s="222"/>
      <c r="F185" s="221"/>
      <c r="G185" s="221"/>
      <c r="H185" s="221"/>
    </row>
    <row r="186" spans="1:9" ht="58.5" customHeight="1">
      <c r="A186" s="225"/>
      <c r="B186" s="226"/>
      <c r="C186" s="226"/>
      <c r="D186" s="226"/>
      <c r="E186" s="226"/>
      <c r="F186" s="221"/>
      <c r="G186" s="221"/>
      <c r="H186" s="221"/>
    </row>
    <row r="187" spans="1:9" ht="23.25">
      <c r="A187" s="225"/>
      <c r="B187" s="226"/>
      <c r="C187" s="226"/>
      <c r="D187" s="226"/>
      <c r="E187" s="226"/>
      <c r="F187" s="221"/>
      <c r="G187" s="221"/>
      <c r="H187" s="221"/>
    </row>
    <row r="188" spans="1:9" ht="23.25">
      <c r="A188" s="225"/>
      <c r="B188" s="226"/>
      <c r="C188" s="226"/>
      <c r="D188" s="226"/>
      <c r="E188" s="226"/>
      <c r="F188" s="221"/>
      <c r="G188" s="221"/>
      <c r="H188" s="221"/>
    </row>
    <row r="189" spans="1:9" ht="23.25">
      <c r="A189" s="225"/>
      <c r="B189" s="226"/>
      <c r="C189" s="226"/>
      <c r="D189" s="226"/>
      <c r="E189" s="226"/>
      <c r="F189" s="221"/>
      <c r="G189" s="221"/>
      <c r="H189" s="221"/>
    </row>
    <row r="190" spans="1:9">
      <c r="A190" s="236"/>
      <c r="B190" s="236"/>
      <c r="C190" s="236"/>
      <c r="D190" s="236"/>
      <c r="E190" s="236"/>
      <c r="F190" s="236"/>
      <c r="G190" s="236"/>
      <c r="H190" s="236"/>
    </row>
    <row r="191" spans="1:9" ht="28.5">
      <c r="A191" s="254"/>
      <c r="B191" s="254"/>
      <c r="C191" s="254"/>
      <c r="D191" s="254"/>
      <c r="E191" s="254"/>
      <c r="F191" s="254"/>
      <c r="G191" s="254"/>
      <c r="H191" s="254"/>
    </row>
    <row r="192" spans="1:9" ht="23.25">
      <c r="A192" s="229"/>
      <c r="B192" s="239"/>
      <c r="C192" s="230"/>
      <c r="D192" s="230"/>
      <c r="E192" s="230"/>
      <c r="F192" s="221"/>
      <c r="G192" s="239"/>
      <c r="H192" s="221"/>
      <c r="I192" s="227"/>
    </row>
    <row r="193" spans="1:9" ht="23.25">
      <c r="A193" s="231"/>
      <c r="B193" s="222"/>
      <c r="C193" s="222"/>
      <c r="D193" s="222"/>
      <c r="E193" s="222"/>
      <c r="F193" s="221"/>
      <c r="G193" s="221"/>
      <c r="H193" s="221"/>
      <c r="I193" t="e">
        <f>AV</f>
        <v>#NAME?</v>
      </c>
    </row>
    <row r="194" spans="1:9" ht="23.25">
      <c r="A194" s="231"/>
      <c r="B194" s="222"/>
      <c r="C194" s="222"/>
      <c r="D194" s="222"/>
      <c r="E194" s="222"/>
      <c r="F194" s="246"/>
      <c r="G194" s="221"/>
      <c r="H194" s="221"/>
    </row>
    <row r="195" spans="1:9" ht="23.25">
      <c r="A195" s="231"/>
      <c r="B195" s="222"/>
      <c r="C195" s="222"/>
      <c r="D195" s="222"/>
      <c r="E195" s="222"/>
      <c r="F195" s="241"/>
      <c r="G195" s="221"/>
      <c r="H195" s="221"/>
    </row>
    <row r="196" spans="1:9" ht="23.25">
      <c r="A196" s="231"/>
      <c r="B196" s="222"/>
      <c r="C196" s="222"/>
      <c r="D196" s="222"/>
      <c r="E196" s="222"/>
      <c r="F196" s="221"/>
      <c r="G196" s="221"/>
      <c r="H196" s="221"/>
    </row>
    <row r="197" spans="1:9" ht="23.25">
      <c r="A197" s="231"/>
      <c r="B197" s="222"/>
      <c r="C197" s="222"/>
      <c r="D197" s="222"/>
      <c r="E197" s="222"/>
      <c r="F197" s="221"/>
      <c r="G197" s="221"/>
      <c r="H197" s="221"/>
    </row>
    <row r="198" spans="1:9" ht="23.25">
      <c r="A198" s="231"/>
      <c r="B198" s="247"/>
      <c r="C198" s="248"/>
      <c r="D198" s="248"/>
      <c r="E198" s="222"/>
      <c r="F198" s="221"/>
      <c r="G198" s="221"/>
      <c r="H198" s="221"/>
    </row>
    <row r="199" spans="1:9" ht="23.25">
      <c r="A199" s="231"/>
      <c r="B199" s="222"/>
      <c r="C199" s="222"/>
      <c r="D199" s="222"/>
      <c r="E199" s="222"/>
      <c r="F199" s="221"/>
      <c r="G199" s="221"/>
      <c r="H199" s="221"/>
    </row>
    <row r="200" spans="1:9" ht="23.25">
      <c r="A200" s="231"/>
      <c r="B200" s="232"/>
      <c r="C200" s="221"/>
      <c r="D200" s="221"/>
      <c r="E200" s="222"/>
      <c r="F200" s="221"/>
      <c r="G200" s="221"/>
      <c r="H200" s="221"/>
    </row>
    <row r="201" spans="1:9" ht="23.25">
      <c r="A201" s="231"/>
      <c r="B201" s="222"/>
      <c r="C201" s="222"/>
      <c r="D201" s="222"/>
      <c r="E201" s="222"/>
      <c r="F201" s="221"/>
      <c r="G201" s="221"/>
      <c r="H201" s="221"/>
    </row>
    <row r="202" spans="1:9" ht="23.25">
      <c r="A202" s="231"/>
      <c r="B202" s="222"/>
      <c r="C202" s="222"/>
      <c r="D202" s="222"/>
      <c r="E202" s="222"/>
      <c r="F202" s="221"/>
      <c r="G202" s="221"/>
      <c r="H202" s="221"/>
    </row>
    <row r="203" spans="1:9" ht="23.25">
      <c r="A203" s="231"/>
      <c r="B203" s="222"/>
      <c r="C203" s="222"/>
      <c r="D203" s="222"/>
      <c r="E203" s="222"/>
      <c r="F203" s="221"/>
      <c r="G203" s="221"/>
      <c r="H203" s="221"/>
    </row>
    <row r="204" spans="1:9" ht="23.25">
      <c r="A204" s="231"/>
      <c r="B204" s="222"/>
      <c r="C204" s="222"/>
      <c r="D204" s="222"/>
      <c r="E204" s="222"/>
      <c r="F204" s="221"/>
      <c r="G204" s="221"/>
      <c r="H204" s="221"/>
    </row>
    <row r="205" spans="1:9" ht="23.25">
      <c r="A205" s="231"/>
      <c r="B205" s="222"/>
      <c r="C205" s="222"/>
      <c r="D205" s="222"/>
      <c r="E205" s="222"/>
      <c r="F205" s="221"/>
      <c r="G205" s="221"/>
      <c r="H205" s="221"/>
    </row>
    <row r="206" spans="1:9" ht="23.25">
      <c r="A206" s="231"/>
      <c r="B206" s="222"/>
      <c r="C206" s="222"/>
      <c r="D206" s="222"/>
      <c r="E206" s="222"/>
      <c r="F206" s="221"/>
      <c r="G206" s="221"/>
      <c r="H206" s="221"/>
    </row>
    <row r="207" spans="1:9" ht="23.25">
      <c r="A207" s="231"/>
      <c r="B207" s="222"/>
      <c r="C207" s="222"/>
      <c r="D207" s="222"/>
      <c r="E207" s="222"/>
      <c r="F207" s="221"/>
      <c r="G207" s="221"/>
      <c r="H207" s="221"/>
    </row>
    <row r="208" spans="1:9" ht="23.25">
      <c r="A208" s="231"/>
      <c r="B208" s="222"/>
      <c r="C208" s="222"/>
      <c r="D208" s="222"/>
      <c r="E208" s="222"/>
      <c r="F208" s="221"/>
      <c r="G208" s="221"/>
      <c r="H208" s="221"/>
    </row>
    <row r="209" spans="1:8" ht="23.25">
      <c r="A209" s="231"/>
      <c r="B209" s="222"/>
      <c r="C209" s="222"/>
      <c r="D209" s="222"/>
      <c r="E209" s="222"/>
      <c r="F209" s="221"/>
      <c r="G209" s="221"/>
      <c r="H209" s="221"/>
    </row>
    <row r="210" spans="1:8" ht="23.25">
      <c r="A210" s="231"/>
      <c r="B210" s="222"/>
      <c r="C210" s="222"/>
      <c r="D210" s="222"/>
      <c r="E210" s="222"/>
      <c r="F210" s="221"/>
      <c r="G210" s="221"/>
      <c r="H210" s="221"/>
    </row>
    <row r="211" spans="1:8" s="191" customFormat="1" ht="23.25">
      <c r="A211" s="231"/>
      <c r="B211" s="222"/>
      <c r="C211" s="249"/>
      <c r="D211" s="222"/>
      <c r="E211" s="222"/>
      <c r="F211" s="221"/>
      <c r="G211" s="221"/>
      <c r="H211" s="221"/>
    </row>
    <row r="212" spans="1:8" ht="23.25">
      <c r="A212" s="231"/>
      <c r="B212" s="222"/>
      <c r="C212" s="222"/>
      <c r="D212" s="222"/>
      <c r="E212" s="222"/>
      <c r="F212" s="221"/>
      <c r="G212" s="221"/>
      <c r="H212" s="221"/>
    </row>
    <row r="213" spans="1:8" ht="23.25">
      <c r="A213" s="225"/>
      <c r="B213" s="226"/>
      <c r="C213" s="226"/>
      <c r="D213" s="226"/>
      <c r="E213" s="226"/>
      <c r="F213" s="221"/>
      <c r="G213" s="221"/>
      <c r="H213" s="221"/>
    </row>
    <row r="214" spans="1:8" ht="23.25">
      <c r="A214" s="225"/>
      <c r="B214" s="226"/>
      <c r="C214" s="226"/>
      <c r="D214" s="226"/>
      <c r="E214" s="226"/>
      <c r="F214" s="221"/>
      <c r="G214" s="221"/>
      <c r="H214" s="221"/>
    </row>
    <row r="215" spans="1:8" ht="23.25">
      <c r="A215" s="225"/>
      <c r="B215" s="226"/>
      <c r="C215" s="226"/>
      <c r="D215" s="226"/>
      <c r="E215" s="226"/>
      <c r="F215" s="221"/>
      <c r="G215" s="221"/>
      <c r="H215" s="221"/>
    </row>
    <row r="216" spans="1:8" ht="23.25">
      <c r="A216" s="225"/>
      <c r="B216" s="226"/>
      <c r="C216" s="226"/>
      <c r="D216" s="226"/>
      <c r="E216" s="226"/>
      <c r="F216" s="221"/>
      <c r="G216" s="221"/>
      <c r="H216" s="221"/>
    </row>
    <row r="217" spans="1:8">
      <c r="A217" s="236"/>
      <c r="B217" s="236"/>
      <c r="C217" s="236"/>
      <c r="D217" s="236"/>
      <c r="E217" s="236"/>
      <c r="F217" s="236"/>
      <c r="G217" s="236"/>
      <c r="H217" s="236"/>
    </row>
    <row r="218" spans="1:8" ht="28.5">
      <c r="A218" s="254"/>
      <c r="B218" s="254"/>
      <c r="C218" s="254"/>
      <c r="D218" s="254"/>
      <c r="E218" s="254"/>
      <c r="F218" s="254"/>
      <c r="G218" s="254"/>
      <c r="H218" s="254"/>
    </row>
    <row r="219" spans="1:8" ht="23.25">
      <c r="A219" s="229"/>
      <c r="B219" s="239"/>
      <c r="C219" s="230"/>
      <c r="D219" s="230"/>
      <c r="E219" s="230"/>
      <c r="F219" s="221"/>
      <c r="G219" s="239"/>
      <c r="H219" s="221"/>
    </row>
    <row r="220" spans="1:8" ht="23.25">
      <c r="A220" s="231"/>
      <c r="B220" s="250"/>
      <c r="C220" s="222"/>
      <c r="D220" s="222"/>
      <c r="E220" s="222"/>
      <c r="F220" s="221"/>
      <c r="G220" s="221"/>
      <c r="H220" s="221"/>
    </row>
    <row r="221" spans="1:8" ht="23.25">
      <c r="A221" s="231"/>
      <c r="B221" s="250"/>
      <c r="C221" s="222"/>
      <c r="D221" s="222"/>
      <c r="E221" s="222"/>
      <c r="F221" s="246"/>
      <c r="G221" s="221"/>
      <c r="H221" s="221"/>
    </row>
    <row r="222" spans="1:8" ht="23.25">
      <c r="A222" s="231"/>
      <c r="B222" s="250"/>
      <c r="C222" s="222"/>
      <c r="D222" s="222"/>
      <c r="E222" s="222"/>
      <c r="F222" s="241"/>
      <c r="G222" s="221"/>
      <c r="H222" s="221"/>
    </row>
    <row r="223" spans="1:8" ht="23.25">
      <c r="A223" s="231"/>
      <c r="B223" s="251"/>
      <c r="C223" s="222"/>
      <c r="D223" s="222"/>
      <c r="E223" s="222"/>
      <c r="F223" s="221"/>
      <c r="G223" s="221"/>
      <c r="H223" s="221"/>
    </row>
    <row r="224" spans="1:8" ht="23.25">
      <c r="A224" s="231"/>
      <c r="B224" s="250"/>
      <c r="C224" s="222"/>
      <c r="D224" s="222"/>
      <c r="E224" s="222"/>
      <c r="F224" s="221"/>
      <c r="G224" s="221"/>
      <c r="H224" s="221"/>
    </row>
    <row r="225" spans="1:8" ht="23.25">
      <c r="A225" s="231"/>
      <c r="B225" s="252"/>
      <c r="C225" s="248"/>
      <c r="D225" s="248"/>
      <c r="E225" s="222"/>
      <c r="F225" s="221"/>
      <c r="G225" s="221"/>
      <c r="H225" s="221"/>
    </row>
    <row r="226" spans="1:8" ht="23.25">
      <c r="A226" s="231"/>
      <c r="B226" s="250"/>
      <c r="C226" s="222"/>
      <c r="D226" s="222"/>
      <c r="E226" s="222"/>
      <c r="F226" s="221"/>
      <c r="G226" s="221"/>
      <c r="H226" s="221"/>
    </row>
    <row r="227" spans="1:8" ht="23.25">
      <c r="A227" s="231"/>
      <c r="B227" s="253"/>
      <c r="C227" s="221"/>
      <c r="D227" s="221"/>
      <c r="E227" s="222"/>
      <c r="F227" s="221"/>
      <c r="G227" s="221"/>
      <c r="H227" s="221"/>
    </row>
    <row r="228" spans="1:8" ht="23.25">
      <c r="A228" s="231"/>
      <c r="B228" s="250"/>
      <c r="C228" s="222"/>
      <c r="D228" s="222"/>
      <c r="E228" s="222"/>
      <c r="F228" s="221"/>
      <c r="G228" s="221"/>
      <c r="H228" s="221"/>
    </row>
    <row r="229" spans="1:8" ht="23.25">
      <c r="A229" s="231"/>
      <c r="B229" s="250"/>
      <c r="C229" s="222"/>
      <c r="D229" s="222"/>
      <c r="E229" s="222"/>
      <c r="F229" s="221"/>
      <c r="G229" s="221"/>
      <c r="H229" s="221"/>
    </row>
    <row r="230" spans="1:8" ht="23.25">
      <c r="A230" s="231"/>
      <c r="B230" s="250"/>
      <c r="C230" s="222"/>
      <c r="D230" s="222"/>
      <c r="E230" s="222"/>
      <c r="F230" s="221"/>
      <c r="G230" s="221"/>
      <c r="H230" s="221"/>
    </row>
    <row r="231" spans="1:8" ht="23.25">
      <c r="A231" s="231"/>
      <c r="B231" s="250"/>
      <c r="C231" s="222"/>
      <c r="D231" s="222"/>
      <c r="E231" s="222"/>
      <c r="F231" s="221"/>
      <c r="G231" s="221"/>
      <c r="H231" s="221"/>
    </row>
    <row r="232" spans="1:8" ht="23.25">
      <c r="A232" s="231"/>
      <c r="B232" s="250"/>
      <c r="C232" s="222"/>
      <c r="D232" s="222"/>
      <c r="E232" s="222"/>
      <c r="F232" s="221"/>
      <c r="G232" s="221"/>
      <c r="H232" s="221"/>
    </row>
    <row r="233" spans="1:8" ht="23.25">
      <c r="A233" s="231"/>
      <c r="B233" s="250"/>
      <c r="C233" s="222"/>
      <c r="D233" s="222"/>
      <c r="E233" s="222"/>
      <c r="F233" s="221"/>
      <c r="G233" s="221"/>
      <c r="H233" s="221"/>
    </row>
    <row r="234" spans="1:8" ht="23.25">
      <c r="A234" s="231"/>
      <c r="B234" s="250"/>
      <c r="C234" s="222"/>
      <c r="D234" s="222"/>
      <c r="E234" s="222"/>
      <c r="F234" s="221"/>
      <c r="G234" s="221"/>
      <c r="H234" s="221"/>
    </row>
    <row r="235" spans="1:8" ht="23.25">
      <c r="A235" s="231"/>
      <c r="B235" s="250"/>
      <c r="C235" s="222"/>
      <c r="D235" s="222"/>
      <c r="E235" s="222"/>
      <c r="F235" s="221"/>
      <c r="G235" s="221"/>
      <c r="H235" s="221"/>
    </row>
    <row r="236" spans="1:8" ht="23.25">
      <c r="A236" s="231"/>
      <c r="B236" s="250"/>
      <c r="C236" s="222"/>
      <c r="D236" s="222"/>
      <c r="E236" s="222"/>
      <c r="F236" s="221"/>
      <c r="G236" s="221"/>
      <c r="H236" s="221"/>
    </row>
    <row r="237" spans="1:8" ht="23.25">
      <c r="A237" s="231"/>
      <c r="B237" s="250"/>
      <c r="C237" s="222"/>
      <c r="D237" s="222"/>
      <c r="E237" s="222"/>
      <c r="F237" s="221"/>
      <c r="G237" s="221"/>
      <c r="H237" s="221"/>
    </row>
    <row r="238" spans="1:8" s="191" customFormat="1" ht="23.25">
      <c r="A238" s="231"/>
      <c r="B238" s="250"/>
      <c r="C238" s="249"/>
      <c r="D238" s="222"/>
      <c r="E238" s="222"/>
      <c r="F238" s="221"/>
      <c r="G238" s="221"/>
      <c r="H238" s="221"/>
    </row>
    <row r="239" spans="1:8" ht="23.25">
      <c r="A239" s="231"/>
      <c r="B239" s="250"/>
      <c r="C239" s="222"/>
      <c r="D239" s="222"/>
      <c r="E239" s="222"/>
      <c r="F239" s="221"/>
      <c r="G239" s="221"/>
      <c r="H239" s="221"/>
    </row>
    <row r="240" spans="1:8" ht="23.25">
      <c r="A240" s="225"/>
      <c r="B240" s="226"/>
      <c r="C240" s="226"/>
      <c r="D240" s="226"/>
      <c r="E240" s="226"/>
      <c r="F240" s="221"/>
      <c r="G240" s="221"/>
      <c r="H240" s="221"/>
    </row>
    <row r="241" spans="1:8">
      <c r="A241" s="236"/>
      <c r="B241" s="236"/>
      <c r="C241" s="236"/>
      <c r="D241" s="236"/>
      <c r="E241" s="236"/>
      <c r="F241" s="236"/>
      <c r="G241" s="236"/>
      <c r="H241" s="236"/>
    </row>
    <row r="242" spans="1:8">
      <c r="A242" s="236"/>
      <c r="B242" s="236"/>
      <c r="C242" s="236"/>
      <c r="D242" s="236"/>
      <c r="E242" s="236"/>
      <c r="F242" s="236"/>
      <c r="G242" s="236"/>
      <c r="H242" s="236"/>
    </row>
    <row r="243" spans="1:8">
      <c r="A243" s="236"/>
      <c r="B243" s="236"/>
      <c r="C243" s="236"/>
      <c r="D243" s="236"/>
      <c r="E243" s="236"/>
      <c r="F243" s="236"/>
      <c r="G243" s="236"/>
      <c r="H243" s="236"/>
    </row>
    <row r="244" spans="1:8">
      <c r="A244" s="236"/>
      <c r="B244" s="236"/>
      <c r="C244" s="236"/>
      <c r="D244" s="236"/>
      <c r="E244" s="236"/>
      <c r="F244" s="236"/>
      <c r="G244" s="236"/>
      <c r="H244" s="236"/>
    </row>
    <row r="245" spans="1:8">
      <c r="A245" s="236"/>
      <c r="B245" s="236"/>
      <c r="C245" s="236"/>
      <c r="D245" s="236"/>
      <c r="E245" s="236"/>
      <c r="F245" s="236"/>
      <c r="G245" s="236"/>
      <c r="H245" s="236"/>
    </row>
    <row r="246" spans="1:8">
      <c r="A246" s="236"/>
      <c r="B246" s="236"/>
      <c r="C246" s="236"/>
      <c r="D246" s="236"/>
      <c r="E246" s="236"/>
      <c r="F246" s="236"/>
      <c r="G246" s="236"/>
      <c r="H246" s="236"/>
    </row>
    <row r="247" spans="1:8">
      <c r="A247" s="236"/>
      <c r="B247" s="236"/>
      <c r="C247" s="236"/>
      <c r="D247" s="236"/>
      <c r="E247" s="236"/>
      <c r="F247" s="236"/>
      <c r="G247" s="236"/>
      <c r="H247" s="236"/>
    </row>
  </sheetData>
  <mergeCells count="18">
    <mergeCell ref="A1:E1"/>
    <mergeCell ref="F1:H1"/>
    <mergeCell ref="A110:E110"/>
    <mergeCell ref="F110:H110"/>
    <mergeCell ref="A137:E137"/>
    <mergeCell ref="F137:H137"/>
    <mergeCell ref="A29:E29"/>
    <mergeCell ref="F29:H29"/>
    <mergeCell ref="A56:E56"/>
    <mergeCell ref="F56:H56"/>
    <mergeCell ref="A83:E83"/>
    <mergeCell ref="F83:H83"/>
    <mergeCell ref="A191:E191"/>
    <mergeCell ref="F191:H191"/>
    <mergeCell ref="A164:E164"/>
    <mergeCell ref="F164:H164"/>
    <mergeCell ref="A218:E218"/>
    <mergeCell ref="F218:H2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50" zoomScaleNormal="50" workbookViewId="0">
      <selection activeCell="B21" sqref="B21:D21"/>
    </sheetView>
  </sheetViews>
  <sheetFormatPr defaultRowHeight="15"/>
  <cols>
    <col min="1" max="1" width="40.5703125" customWidth="1"/>
    <col min="2" max="2" width="31.5703125" customWidth="1"/>
    <col min="3" max="3" width="38.42578125" customWidth="1"/>
    <col min="4" max="4" width="25.5703125" customWidth="1"/>
    <col min="5" max="5" width="27.42578125" customWidth="1"/>
    <col min="6" max="6" width="24.5703125" customWidth="1"/>
    <col min="7" max="7" width="20.7109375" customWidth="1"/>
    <col min="8" max="8" width="26.140625" customWidth="1"/>
  </cols>
  <sheetData>
    <row r="1" spans="1:8" ht="29.25" thickBot="1">
      <c r="A1" s="258" t="s">
        <v>0</v>
      </c>
      <c r="B1" s="259"/>
      <c r="C1" s="259"/>
      <c r="D1" s="259"/>
      <c r="E1" s="260"/>
      <c r="F1" s="258" t="s">
        <v>47</v>
      </c>
      <c r="G1" s="259"/>
      <c r="H1" s="260"/>
    </row>
    <row r="2" spans="1:8" ht="24" thickBot="1">
      <c r="A2" s="1" t="s">
        <v>1</v>
      </c>
      <c r="B2" s="2" t="s">
        <v>2</v>
      </c>
      <c r="C2" s="3" t="s">
        <v>43</v>
      </c>
      <c r="D2" s="4" t="s">
        <v>3</v>
      </c>
      <c r="E2" s="5" t="s">
        <v>4</v>
      </c>
      <c r="F2" s="5" t="s">
        <v>2</v>
      </c>
      <c r="G2" s="6" t="s">
        <v>43</v>
      </c>
      <c r="H2" s="6" t="s">
        <v>3</v>
      </c>
    </row>
    <row r="3" spans="1:8" ht="24" thickBot="1">
      <c r="A3" s="7" t="s">
        <v>5</v>
      </c>
      <c r="B3" s="8">
        <v>3471007000</v>
      </c>
      <c r="C3" s="9">
        <v>1252137000</v>
      </c>
      <c r="D3" s="10">
        <v>440319000</v>
      </c>
      <c r="E3" s="11">
        <f t="shared" ref="E3:E8" si="0">B3+C3+D3</f>
        <v>5163463000</v>
      </c>
      <c r="F3" s="12">
        <f t="shared" ref="F3:F8" si="1">SUM(B3/E3)</f>
        <v>0.67222462909098024</v>
      </c>
      <c r="G3" s="13">
        <f t="shared" ref="G3:G8" si="2">C3/E3</f>
        <v>0.24249946208581333</v>
      </c>
      <c r="H3" s="13">
        <f t="shared" ref="H3:H8" si="3">D3/E3</f>
        <v>8.5275908823206445E-2</v>
      </c>
    </row>
    <row r="4" spans="1:8" ht="24" thickBot="1">
      <c r="A4" s="7" t="s">
        <v>6</v>
      </c>
      <c r="B4" s="14">
        <v>913816000</v>
      </c>
      <c r="C4" s="15">
        <v>1507892000</v>
      </c>
      <c r="D4" s="16">
        <v>428420000</v>
      </c>
      <c r="E4" s="11">
        <f t="shared" si="0"/>
        <v>2850128000</v>
      </c>
      <c r="F4" s="12">
        <f t="shared" si="1"/>
        <v>0.32062279308157388</v>
      </c>
      <c r="G4" s="13">
        <f t="shared" si="2"/>
        <v>0.5290611509377825</v>
      </c>
      <c r="H4" s="13">
        <f t="shared" si="3"/>
        <v>0.15031605598064368</v>
      </c>
    </row>
    <row r="5" spans="1:8" ht="24" thickBot="1">
      <c r="A5" s="7" t="s">
        <v>7</v>
      </c>
      <c r="B5" s="14">
        <v>1357836000</v>
      </c>
      <c r="C5" s="15">
        <v>586659000</v>
      </c>
      <c r="D5" s="17">
        <v>342159000</v>
      </c>
      <c r="E5" s="11">
        <f t="shared" si="0"/>
        <v>2286654000</v>
      </c>
      <c r="F5" s="12">
        <f t="shared" si="1"/>
        <v>0.5938091202254473</v>
      </c>
      <c r="G5" s="13">
        <f t="shared" si="2"/>
        <v>0.25655783516001984</v>
      </c>
      <c r="H5" s="13">
        <f t="shared" si="3"/>
        <v>0.14963304461453286</v>
      </c>
    </row>
    <row r="6" spans="1:8" ht="24" thickBot="1">
      <c r="A6" s="7" t="s">
        <v>8</v>
      </c>
      <c r="B6" s="14">
        <v>2113171000</v>
      </c>
      <c r="C6" s="15">
        <f>C3-C5</f>
        <v>665478000</v>
      </c>
      <c r="D6" s="17">
        <v>98160000</v>
      </c>
      <c r="E6" s="11">
        <f t="shared" si="0"/>
        <v>2876809000</v>
      </c>
      <c r="F6" s="12">
        <f t="shared" si="1"/>
        <v>0.73455380597043463</v>
      </c>
      <c r="G6" s="13">
        <f t="shared" si="2"/>
        <v>0.23132505494803443</v>
      </c>
      <c r="H6" s="13">
        <f t="shared" si="3"/>
        <v>3.4121139081530957E-2</v>
      </c>
    </row>
    <row r="7" spans="1:8" ht="24" thickBot="1">
      <c r="A7" s="7" t="s">
        <v>9</v>
      </c>
      <c r="B7" s="14">
        <v>1199355000</v>
      </c>
      <c r="C7" s="15">
        <f>C10+161005000+13274000</f>
        <v>-668135000</v>
      </c>
      <c r="D7" s="17">
        <v>-298440000</v>
      </c>
      <c r="E7" s="11">
        <f t="shared" si="0"/>
        <v>232780000</v>
      </c>
      <c r="F7" s="12">
        <f t="shared" si="1"/>
        <v>5.1523111951198555</v>
      </c>
      <c r="G7" s="13">
        <f t="shared" si="2"/>
        <v>-2.870242288856431</v>
      </c>
      <c r="H7" s="13">
        <f t="shared" si="3"/>
        <v>-1.2820689062634247</v>
      </c>
    </row>
    <row r="8" spans="1:8" ht="24" thickBot="1">
      <c r="A8" s="7" t="s">
        <v>10</v>
      </c>
      <c r="B8" s="14">
        <v>479514000</v>
      </c>
      <c r="C8" s="15">
        <v>842655000</v>
      </c>
      <c r="D8" s="17">
        <v>-382525000</v>
      </c>
      <c r="E8" s="11">
        <f t="shared" si="0"/>
        <v>939644000</v>
      </c>
      <c r="F8" s="12">
        <f t="shared" si="1"/>
        <v>0.51031454465733828</v>
      </c>
      <c r="G8" s="13">
        <f t="shared" si="2"/>
        <v>0.89678112136085586</v>
      </c>
      <c r="H8" s="13">
        <f t="shared" si="3"/>
        <v>-0.40709566601819414</v>
      </c>
    </row>
    <row r="9" spans="1:8" ht="24" thickBot="1">
      <c r="A9" s="7" t="s">
        <v>11</v>
      </c>
      <c r="B9" s="18">
        <f>B8/B3</f>
        <v>0.13814838172322902</v>
      </c>
      <c r="C9" s="19">
        <f>C8/C3</f>
        <v>0.67297348453084604</v>
      </c>
      <c r="D9" s="20">
        <f>D8/D3</f>
        <v>-0.86874515975917455</v>
      </c>
      <c r="E9" s="21"/>
      <c r="F9" s="22"/>
      <c r="G9" s="23"/>
      <c r="H9" s="24"/>
    </row>
    <row r="10" spans="1:8" ht="24" thickBot="1">
      <c r="A10" s="7" t="s">
        <v>12</v>
      </c>
      <c r="B10" s="14">
        <v>686195000</v>
      </c>
      <c r="C10" s="15">
        <v>-842414000</v>
      </c>
      <c r="D10" s="25">
        <v>-382503</v>
      </c>
      <c r="E10" s="26">
        <f>B10+C10+D10</f>
        <v>-156601503</v>
      </c>
      <c r="F10" s="12"/>
      <c r="G10" s="13"/>
      <c r="H10" s="13"/>
    </row>
    <row r="11" spans="1:8" ht="24" thickBot="1">
      <c r="A11" s="7" t="s">
        <v>13</v>
      </c>
      <c r="B11" s="27">
        <v>1010918000</v>
      </c>
      <c r="C11" s="15">
        <v>658406000</v>
      </c>
      <c r="D11" s="28">
        <v>1289693000</v>
      </c>
      <c r="E11" s="26">
        <f t="shared" ref="E11:E19" si="4">B11+C11+D11</f>
        <v>2959017000</v>
      </c>
      <c r="F11" s="12">
        <f>B11/E11</f>
        <v>0.34163980808491468</v>
      </c>
      <c r="G11" s="13">
        <f t="shared" ref="G11:G21" si="5">C11/E11</f>
        <v>0.22250835328083618</v>
      </c>
      <c r="H11" s="13">
        <f t="shared" ref="H11:H19" si="6">D11/E11</f>
        <v>0.43585183863424914</v>
      </c>
    </row>
    <row r="12" spans="1:8" ht="24" thickBot="1">
      <c r="A12" s="7" t="s">
        <v>14</v>
      </c>
      <c r="B12" s="29">
        <v>3059107000</v>
      </c>
      <c r="C12" s="15">
        <v>704970000</v>
      </c>
      <c r="D12" s="28">
        <v>269285000</v>
      </c>
      <c r="E12" s="26">
        <f t="shared" si="4"/>
        <v>4033362000</v>
      </c>
      <c r="F12" s="12">
        <f>B12/E12</f>
        <v>0.75845089034904378</v>
      </c>
      <c r="G12" s="13">
        <f t="shared" si="5"/>
        <v>0.17478470814174379</v>
      </c>
      <c r="H12" s="13">
        <f t="shared" si="6"/>
        <v>6.6764401509212409E-2</v>
      </c>
    </row>
    <row r="13" spans="1:8" ht="24" thickBot="1">
      <c r="A13" s="7" t="s">
        <v>15</v>
      </c>
      <c r="B13" s="29">
        <v>4070025000</v>
      </c>
      <c r="C13" s="15">
        <v>1363376000</v>
      </c>
      <c r="D13" s="28">
        <f>D11+D12</f>
        <v>1558978000</v>
      </c>
      <c r="E13" s="26">
        <f t="shared" si="4"/>
        <v>6992379000</v>
      </c>
      <c r="F13" s="12">
        <f>B13/E13</f>
        <v>0.58206584625919167</v>
      </c>
      <c r="G13" s="13">
        <f t="shared" si="5"/>
        <v>0.19498027781388852</v>
      </c>
      <c r="H13" s="13">
        <f t="shared" si="6"/>
        <v>0.22295387592691987</v>
      </c>
    </row>
    <row r="14" spans="1:8" ht="24" thickBot="1">
      <c r="A14" s="7" t="s">
        <v>16</v>
      </c>
      <c r="B14" s="29">
        <v>1281712000</v>
      </c>
      <c r="C14" s="15">
        <v>6045269000</v>
      </c>
      <c r="D14" s="28">
        <v>997104000</v>
      </c>
      <c r="E14" s="26">
        <f t="shared" si="4"/>
        <v>8324085000</v>
      </c>
      <c r="F14" s="12"/>
      <c r="G14" s="13">
        <f t="shared" si="5"/>
        <v>0.72623825922008245</v>
      </c>
      <c r="H14" s="13">
        <f t="shared" si="6"/>
        <v>0.11978541785673741</v>
      </c>
    </row>
    <row r="15" spans="1:8" ht="24" thickBot="1">
      <c r="A15" s="7" t="s">
        <v>17</v>
      </c>
      <c r="B15" s="8">
        <v>653083000</v>
      </c>
      <c r="C15" s="15">
        <v>1611352000</v>
      </c>
      <c r="D15" s="17">
        <v>908369000</v>
      </c>
      <c r="E15" s="26">
        <f t="shared" si="4"/>
        <v>3172804000</v>
      </c>
      <c r="F15" s="12"/>
      <c r="G15" s="13">
        <f t="shared" si="5"/>
        <v>0.50786370667712222</v>
      </c>
      <c r="H15" s="13">
        <f t="shared" si="6"/>
        <v>0.28629849180724681</v>
      </c>
    </row>
    <row r="16" spans="1:8" ht="24" thickBot="1">
      <c r="A16" s="7" t="s">
        <v>18</v>
      </c>
      <c r="B16" s="14">
        <v>1934795000</v>
      </c>
      <c r="C16" s="15">
        <v>7656621000</v>
      </c>
      <c r="D16" s="17">
        <f>D14+D15</f>
        <v>1905473000</v>
      </c>
      <c r="E16" s="26">
        <f t="shared" si="4"/>
        <v>11496889000</v>
      </c>
      <c r="F16" s="12">
        <f t="shared" ref="F16:F22" si="7">SUM(B16/E16)</f>
        <v>0.16828856919467519</v>
      </c>
      <c r="G16" s="13">
        <f t="shared" si="5"/>
        <v>0.66597329068759381</v>
      </c>
      <c r="H16" s="13">
        <f t="shared" si="6"/>
        <v>0.16573814011773097</v>
      </c>
    </row>
    <row r="17" spans="1:8" ht="24" thickBot="1">
      <c r="A17" s="7" t="s">
        <v>19</v>
      </c>
      <c r="B17" s="14">
        <v>183693000</v>
      </c>
      <c r="C17" s="15">
        <v>232895000</v>
      </c>
      <c r="D17" s="17">
        <v>79211000</v>
      </c>
      <c r="E17" s="26">
        <f t="shared" si="4"/>
        <v>495799000</v>
      </c>
      <c r="F17" s="12">
        <f t="shared" si="7"/>
        <v>0.37049893202688994</v>
      </c>
      <c r="G17" s="13">
        <f t="shared" si="5"/>
        <v>0.46973672798855987</v>
      </c>
      <c r="H17" s="13">
        <f t="shared" si="6"/>
        <v>0.1597643399845502</v>
      </c>
    </row>
    <row r="18" spans="1:8" ht="24" thickBot="1">
      <c r="A18" s="7" t="s">
        <v>20</v>
      </c>
      <c r="B18" s="14">
        <v>2135230000</v>
      </c>
      <c r="C18" s="15">
        <v>-6293245000</v>
      </c>
      <c r="D18" s="17">
        <v>346495000</v>
      </c>
      <c r="E18" s="26">
        <f t="shared" si="4"/>
        <v>-3811520000</v>
      </c>
      <c r="F18" s="12">
        <f t="shared" si="7"/>
        <v>-0.56020432793216357</v>
      </c>
      <c r="G18" s="13">
        <f t="shared" si="5"/>
        <v>1.651111630005877</v>
      </c>
      <c r="H18" s="13">
        <f t="shared" si="6"/>
        <v>-9.0907302073713378E-2</v>
      </c>
    </row>
    <row r="19" spans="1:8" ht="24" thickBot="1">
      <c r="A19" s="7" t="s">
        <v>21</v>
      </c>
      <c r="B19" s="14">
        <v>438854000</v>
      </c>
      <c r="C19" s="15">
        <v>6083090000</v>
      </c>
      <c r="D19" s="17">
        <v>566366000</v>
      </c>
      <c r="E19" s="26">
        <f t="shared" si="4"/>
        <v>7088310000</v>
      </c>
      <c r="F19" s="12">
        <f t="shared" si="7"/>
        <v>6.1912359927824824E-2</v>
      </c>
      <c r="G19" s="13">
        <f t="shared" si="5"/>
        <v>0.85818622492526431</v>
      </c>
      <c r="H19" s="13">
        <f t="shared" si="6"/>
        <v>7.9901415146910904E-2</v>
      </c>
    </row>
    <row r="20" spans="1:8" ht="24" thickBot="1">
      <c r="A20" s="31" t="s">
        <v>22</v>
      </c>
      <c r="B20" s="190">
        <f>B24+B25</f>
        <v>1449074000</v>
      </c>
      <c r="C20" s="192">
        <f>C24+C25</f>
        <v>48841000</v>
      </c>
      <c r="D20" s="193">
        <f>D24+D25</f>
        <v>337776000</v>
      </c>
      <c r="E20" s="194">
        <f>SUM(B20:D20)</f>
        <v>1835691000</v>
      </c>
      <c r="F20" s="186">
        <f t="shared" si="7"/>
        <v>0.78938884594411585</v>
      </c>
      <c r="G20" s="187">
        <f t="shared" si="5"/>
        <v>2.6606329714532567E-2</v>
      </c>
      <c r="H20" s="188">
        <f>SUM(D20/E20)</f>
        <v>0.18400482434135157</v>
      </c>
    </row>
    <row r="21" spans="1:8" ht="24" thickBot="1">
      <c r="A21" s="31" t="s">
        <v>23</v>
      </c>
      <c r="B21" s="32">
        <f>(B18+B19)-B17</f>
        <v>2390391000</v>
      </c>
      <c r="C21" s="32">
        <f t="shared" ref="C21:D21" si="8">(C18+C19)-C17</f>
        <v>-443050000</v>
      </c>
      <c r="D21" s="32">
        <f t="shared" si="8"/>
        <v>833650000</v>
      </c>
      <c r="E21" s="34">
        <f>B21+C21+D21</f>
        <v>2780991000</v>
      </c>
      <c r="F21" s="22">
        <f t="shared" si="7"/>
        <v>0.85954647102417803</v>
      </c>
      <c r="G21" s="23">
        <f t="shared" si="5"/>
        <v>-0.15931371227019434</v>
      </c>
      <c r="H21" s="13">
        <f>SUM(D21/E21)</f>
        <v>0.29976724124601628</v>
      </c>
    </row>
    <row r="22" spans="1:8" ht="47.25" thickBot="1">
      <c r="A22" s="35" t="s">
        <v>24</v>
      </c>
      <c r="B22" s="36">
        <f>IFERROR(B21/#REF!,0)</f>
        <v>0</v>
      </c>
      <c r="C22" s="36">
        <f>IFERROR(C21/#REF!,0)</f>
        <v>0</v>
      </c>
      <c r="D22" s="36">
        <f>IFERROR(D21/#REF!,0)</f>
        <v>0</v>
      </c>
      <c r="E22" s="36">
        <f>IFERROR(E21/#REF!,0)</f>
        <v>0</v>
      </c>
      <c r="F22" s="37" t="e">
        <f t="shared" si="7"/>
        <v>#DIV/0!</v>
      </c>
      <c r="G22" s="37" t="e">
        <f>SUM(D22/E22)</f>
        <v>#DIV/0!</v>
      </c>
      <c r="H22" s="37" t="e">
        <f>SUM(C22/E22)</f>
        <v>#DIV/0!</v>
      </c>
    </row>
    <row r="23" spans="1:8" ht="23.25">
      <c r="A23" s="38" t="s">
        <v>25</v>
      </c>
      <c r="B23" s="39"/>
      <c r="C23" s="40" t="s">
        <v>26</v>
      </c>
      <c r="D23" s="41">
        <v>8720000</v>
      </c>
      <c r="E23" s="39"/>
      <c r="F23" s="42"/>
      <c r="G23" s="43"/>
      <c r="H23" s="43"/>
    </row>
    <row r="24" spans="1:8" ht="18.75">
      <c r="A24">
        <v>2017</v>
      </c>
      <c r="B24" s="44">
        <v>784263000</v>
      </c>
      <c r="C24" s="45">
        <v>9160000</v>
      </c>
      <c r="D24" s="46">
        <v>166147000</v>
      </c>
    </row>
    <row r="25" spans="1:8" ht="18.75">
      <c r="A25">
        <v>2018</v>
      </c>
      <c r="B25" s="44">
        <v>664811000</v>
      </c>
      <c r="C25" s="45">
        <v>39681000</v>
      </c>
      <c r="D25" s="46">
        <v>171629000</v>
      </c>
    </row>
    <row r="26" spans="1:8" ht="19.5" thickBot="1">
      <c r="C26" s="47"/>
    </row>
    <row r="27" spans="1:8" ht="18.75">
      <c r="C27" s="48"/>
    </row>
  </sheetData>
  <mergeCells count="2">
    <mergeCell ref="A1:E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50" zoomScaleNormal="50" workbookViewId="0">
      <selection activeCell="B21" sqref="B21:D21"/>
    </sheetView>
  </sheetViews>
  <sheetFormatPr defaultRowHeight="15"/>
  <cols>
    <col min="1" max="1" width="55.7109375" bestFit="1" customWidth="1"/>
    <col min="2" max="2" width="29.5703125" customWidth="1"/>
    <col min="3" max="4" width="28.85546875" bestFit="1" customWidth="1"/>
    <col min="5" max="5" width="29.42578125" bestFit="1" customWidth="1"/>
    <col min="6" max="6" width="19.7109375" customWidth="1"/>
    <col min="7" max="7" width="21.140625" customWidth="1"/>
    <col min="8" max="8" width="12.28515625" customWidth="1"/>
  </cols>
  <sheetData>
    <row r="1" spans="1:8" ht="29.25" thickBot="1">
      <c r="A1" s="258" t="s">
        <v>27</v>
      </c>
      <c r="B1" s="259"/>
      <c r="C1" s="259"/>
      <c r="D1" s="259"/>
      <c r="E1" s="259"/>
      <c r="F1" s="258"/>
      <c r="G1" s="259"/>
      <c r="H1" s="260"/>
    </row>
    <row r="2" spans="1:8" ht="24" thickBot="1">
      <c r="A2" s="49" t="s">
        <v>1</v>
      </c>
      <c r="B2" s="50" t="s">
        <v>2</v>
      </c>
      <c r="C2" s="3" t="s">
        <v>43</v>
      </c>
      <c r="D2" s="51" t="s">
        <v>3</v>
      </c>
      <c r="E2" s="5" t="s">
        <v>4</v>
      </c>
      <c r="F2" s="13" t="s">
        <v>2</v>
      </c>
      <c r="G2" s="144" t="s">
        <v>43</v>
      </c>
      <c r="H2" s="13" t="s">
        <v>3</v>
      </c>
    </row>
    <row r="3" spans="1:8" ht="24" thickBot="1">
      <c r="A3" s="53" t="s">
        <v>5</v>
      </c>
      <c r="B3" s="54">
        <v>4237407000</v>
      </c>
      <c r="C3" s="55">
        <v>1312512000</v>
      </c>
      <c r="D3" s="56">
        <v>803171000</v>
      </c>
      <c r="E3" s="57">
        <f t="shared" ref="E3:E8" si="0">B3+C3+D3</f>
        <v>6353090000</v>
      </c>
      <c r="F3" s="58">
        <f t="shared" ref="F3:F8" si="1">SUM(B3/E3)</f>
        <v>0.66698362529100008</v>
      </c>
      <c r="G3" s="59">
        <f t="shared" ref="G3:G8" si="2">C3/E3</f>
        <v>0.20659427144901144</v>
      </c>
      <c r="H3" s="60">
        <f t="shared" ref="H3:H8" si="3">D3/E3</f>
        <v>0.12642210325998846</v>
      </c>
    </row>
    <row r="4" spans="1:8" ht="24" thickBot="1">
      <c r="A4" s="7" t="s">
        <v>6</v>
      </c>
      <c r="B4" s="14">
        <v>1049827000</v>
      </c>
      <c r="C4" s="61">
        <v>2096094000</v>
      </c>
      <c r="D4" s="16">
        <v>960455000</v>
      </c>
      <c r="E4" s="57">
        <f t="shared" si="0"/>
        <v>4106376000</v>
      </c>
      <c r="F4" s="62">
        <f t="shared" si="1"/>
        <v>0.25565778681737861</v>
      </c>
      <c r="G4" s="59">
        <f t="shared" si="2"/>
        <v>0.51044862915621947</v>
      </c>
      <c r="H4" s="60">
        <f t="shared" si="3"/>
        <v>0.23389358402640187</v>
      </c>
    </row>
    <row r="5" spans="1:8" ht="24" thickBot="1">
      <c r="A5" s="53" t="s">
        <v>7</v>
      </c>
      <c r="B5" s="14">
        <v>1005552000</v>
      </c>
      <c r="C5" s="61">
        <v>638452000</v>
      </c>
      <c r="D5" s="63">
        <v>452994000</v>
      </c>
      <c r="E5" s="57">
        <f t="shared" si="0"/>
        <v>2096998000</v>
      </c>
      <c r="F5" s="64">
        <f t="shared" si="1"/>
        <v>0.47951977064355805</v>
      </c>
      <c r="G5" s="59">
        <f t="shared" si="2"/>
        <v>0.30445999471625629</v>
      </c>
      <c r="H5" s="60">
        <f t="shared" si="3"/>
        <v>0.21602023464018563</v>
      </c>
    </row>
    <row r="6" spans="1:8" ht="24" thickBot="1">
      <c r="A6" s="53" t="s">
        <v>8</v>
      </c>
      <c r="B6" s="14">
        <v>3231855000</v>
      </c>
      <c r="C6" s="61">
        <f>C3-C5</f>
        <v>674060000</v>
      </c>
      <c r="D6" s="65">
        <f>D3-D5</f>
        <v>350177000</v>
      </c>
      <c r="E6" s="57">
        <f t="shared" si="0"/>
        <v>4256092000</v>
      </c>
      <c r="F6" s="66">
        <f t="shared" si="1"/>
        <v>0.75934801221402171</v>
      </c>
      <c r="G6" s="59">
        <f t="shared" si="2"/>
        <v>0.15837533587149902</v>
      </c>
      <c r="H6" s="60">
        <f t="shared" si="3"/>
        <v>8.227665191447929E-2</v>
      </c>
    </row>
    <row r="7" spans="1:8" ht="24" thickBot="1">
      <c r="A7" s="53" t="s">
        <v>9</v>
      </c>
      <c r="B7" s="14">
        <v>2182028000</v>
      </c>
      <c r="C7" s="61">
        <f>C10+154878000+14767000</f>
        <v>-1252389000</v>
      </c>
      <c r="D7" s="63">
        <v>-219139000</v>
      </c>
      <c r="E7" s="57">
        <f t="shared" si="0"/>
        <v>710500000</v>
      </c>
      <c r="F7" s="66">
        <f t="shared" si="1"/>
        <v>3.0711161154116819</v>
      </c>
      <c r="G7" s="59">
        <f t="shared" si="2"/>
        <v>-1.7626868402533427</v>
      </c>
      <c r="H7" s="60">
        <f t="shared" si="3"/>
        <v>-0.30842927515833918</v>
      </c>
    </row>
    <row r="8" spans="1:8" ht="24" thickBot="1">
      <c r="A8" s="53" t="s">
        <v>28</v>
      </c>
      <c r="B8" s="14">
        <v>1160169000</v>
      </c>
      <c r="C8" s="61">
        <v>-1422034000</v>
      </c>
      <c r="D8" s="67">
        <v>413198000</v>
      </c>
      <c r="E8" s="57">
        <f t="shared" si="0"/>
        <v>151333000</v>
      </c>
      <c r="F8" s="66">
        <f t="shared" si="1"/>
        <v>7.6663318641671019</v>
      </c>
      <c r="G8" s="59">
        <f t="shared" si="2"/>
        <v>-9.3967211381522873</v>
      </c>
      <c r="H8" s="60">
        <f t="shared" si="3"/>
        <v>2.7303892739851849</v>
      </c>
    </row>
    <row r="9" spans="1:8" ht="24" thickBot="1">
      <c r="A9" s="53" t="s">
        <v>11</v>
      </c>
      <c r="B9" s="18">
        <f>B8/B3</f>
        <v>0.27379220358110512</v>
      </c>
      <c r="C9" s="68">
        <f>C8/C3</f>
        <v>-1.0834445704115467</v>
      </c>
      <c r="D9" s="69">
        <f>D8/D3</f>
        <v>0.51445831585054735</v>
      </c>
      <c r="E9" s="70"/>
      <c r="F9" s="66"/>
      <c r="G9" s="66"/>
      <c r="H9" s="71"/>
    </row>
    <row r="10" spans="1:8" ht="24" thickBot="1">
      <c r="A10" s="53" t="s">
        <v>12</v>
      </c>
      <c r="B10" s="14">
        <v>1455570000</v>
      </c>
      <c r="C10" s="61">
        <v>-1422034000</v>
      </c>
      <c r="D10" s="72">
        <v>413198000</v>
      </c>
      <c r="E10" s="57">
        <f t="shared" ref="E10:E21" si="4">SUM(B10:D10)</f>
        <v>446734000</v>
      </c>
      <c r="F10" s="66">
        <f t="shared" ref="F10:F21" si="5">B10/E10</f>
        <v>3.258247637296467</v>
      </c>
      <c r="G10" s="66">
        <f t="shared" ref="G10:G21" si="6">C10/E10</f>
        <v>-3.1831783566954832</v>
      </c>
      <c r="H10" s="71">
        <f t="shared" ref="H10:H21" si="7">D10/E10</f>
        <v>0.92493071939901594</v>
      </c>
    </row>
    <row r="11" spans="1:8" ht="23.25">
      <c r="A11" s="53" t="s">
        <v>13</v>
      </c>
      <c r="B11" s="14">
        <v>1244841000</v>
      </c>
      <c r="C11" s="61">
        <v>564356000</v>
      </c>
      <c r="D11" s="56">
        <v>166040000</v>
      </c>
      <c r="E11" s="73">
        <f t="shared" si="4"/>
        <v>1975237000</v>
      </c>
      <c r="F11" s="66">
        <f t="shared" si="5"/>
        <v>0.63022361367268842</v>
      </c>
      <c r="G11" s="66">
        <f t="shared" si="6"/>
        <v>0.28571558754721588</v>
      </c>
      <c r="H11" s="71">
        <f t="shared" si="7"/>
        <v>8.4060798780095758E-2</v>
      </c>
    </row>
    <row r="12" spans="1:8" ht="23.25">
      <c r="A12" s="53" t="s">
        <v>14</v>
      </c>
      <c r="B12" s="14">
        <v>5156433000</v>
      </c>
      <c r="C12" s="61">
        <v>892866000</v>
      </c>
      <c r="D12" s="56">
        <v>1364989000</v>
      </c>
      <c r="E12" s="73">
        <f t="shared" si="4"/>
        <v>7414288000</v>
      </c>
      <c r="F12" s="66">
        <f t="shared" si="5"/>
        <v>0.69547244455570112</v>
      </c>
      <c r="G12" s="66">
        <f t="shared" si="6"/>
        <v>0.12042504957994618</v>
      </c>
      <c r="H12" s="71">
        <f t="shared" si="7"/>
        <v>0.18410250586435273</v>
      </c>
    </row>
    <row r="13" spans="1:8" ht="23.25">
      <c r="A13" s="53" t="s">
        <v>15</v>
      </c>
      <c r="B13" s="14">
        <v>6401274000</v>
      </c>
      <c r="C13" s="61">
        <v>1457222000</v>
      </c>
      <c r="D13" s="74">
        <v>1531029000</v>
      </c>
      <c r="E13" s="75">
        <f t="shared" si="4"/>
        <v>9389525000</v>
      </c>
      <c r="F13" s="66">
        <f t="shared" si="5"/>
        <v>0.68174630772057154</v>
      </c>
      <c r="G13" s="66">
        <f t="shared" si="6"/>
        <v>0.15519656212641214</v>
      </c>
      <c r="H13" s="71">
        <f t="shared" si="7"/>
        <v>0.16305713015301626</v>
      </c>
    </row>
    <row r="14" spans="1:8" ht="23.25">
      <c r="A14" s="53" t="s">
        <v>16</v>
      </c>
      <c r="B14" s="14">
        <v>1580348000</v>
      </c>
      <c r="C14" s="61">
        <v>1528512000</v>
      </c>
      <c r="D14" s="74">
        <v>1446151000</v>
      </c>
      <c r="E14" s="75">
        <f t="shared" si="4"/>
        <v>4555011000</v>
      </c>
      <c r="F14" s="66">
        <f t="shared" si="5"/>
        <v>0.34694713141197681</v>
      </c>
      <c r="G14" s="66">
        <f t="shared" si="6"/>
        <v>0.33556713693995471</v>
      </c>
      <c r="H14" s="71">
        <f t="shared" si="7"/>
        <v>0.31748573164806848</v>
      </c>
    </row>
    <row r="15" spans="1:8" ht="23.25">
      <c r="A15" s="53" t="s">
        <v>17</v>
      </c>
      <c r="B15" s="14">
        <v>2140051000</v>
      </c>
      <c r="C15" s="61">
        <v>956178000</v>
      </c>
      <c r="D15" s="74">
        <v>1181823000</v>
      </c>
      <c r="E15" s="75">
        <f t="shared" si="4"/>
        <v>4278052000</v>
      </c>
      <c r="F15" s="66">
        <f t="shared" si="5"/>
        <v>0.50023959503063542</v>
      </c>
      <c r="G15" s="66">
        <f t="shared" si="6"/>
        <v>0.22350780214920249</v>
      </c>
      <c r="H15" s="71">
        <f t="shared" si="7"/>
        <v>0.27625260282016206</v>
      </c>
    </row>
    <row r="16" spans="1:8" ht="23.25">
      <c r="A16" s="53" t="s">
        <v>18</v>
      </c>
      <c r="B16" s="14">
        <v>3720399000</v>
      </c>
      <c r="C16" s="61">
        <v>2484690000</v>
      </c>
      <c r="D16" s="74">
        <v>2627974000</v>
      </c>
      <c r="E16" s="76">
        <f t="shared" si="4"/>
        <v>8833063000</v>
      </c>
      <c r="F16" s="66">
        <f t="shared" si="5"/>
        <v>0.42119013529055549</v>
      </c>
      <c r="G16" s="66">
        <f t="shared" si="6"/>
        <v>0.28129426904347904</v>
      </c>
      <c r="H16" s="71">
        <f t="shared" si="7"/>
        <v>0.29751559566596547</v>
      </c>
    </row>
    <row r="17" spans="1:8" ht="23.25">
      <c r="A17" s="53" t="s">
        <v>29</v>
      </c>
      <c r="B17" s="14">
        <v>340546000</v>
      </c>
      <c r="C17" s="61">
        <v>69248000</v>
      </c>
      <c r="D17" s="74">
        <v>-132537000</v>
      </c>
      <c r="E17" s="76">
        <f t="shared" si="4"/>
        <v>277257000</v>
      </c>
      <c r="F17" s="66">
        <f t="shared" si="5"/>
        <v>1.2282683575166722</v>
      </c>
      <c r="G17" s="66">
        <f t="shared" si="6"/>
        <v>0.24976105202032772</v>
      </c>
      <c r="H17" s="71">
        <f t="shared" si="7"/>
        <v>-0.47802940953699996</v>
      </c>
    </row>
    <row r="18" spans="1:8" ht="23.25">
      <c r="A18" s="53" t="s">
        <v>20</v>
      </c>
      <c r="B18" s="14">
        <v>2680875000</v>
      </c>
      <c r="C18" s="77">
        <v>-1027468000</v>
      </c>
      <c r="D18" s="74">
        <v>-1096945000</v>
      </c>
      <c r="E18" s="76">
        <f t="shared" si="4"/>
        <v>556462000</v>
      </c>
      <c r="F18" s="66">
        <f t="shared" si="5"/>
        <v>4.8177144171569664</v>
      </c>
      <c r="G18" s="66">
        <f t="shared" si="6"/>
        <v>-1.8464297651951076</v>
      </c>
      <c r="H18" s="71">
        <f t="shared" si="7"/>
        <v>-1.971284651961859</v>
      </c>
    </row>
    <row r="19" spans="1:8" ht="23.25">
      <c r="A19" s="53" t="s">
        <v>21</v>
      </c>
      <c r="B19" s="14">
        <v>505423000</v>
      </c>
      <c r="C19" s="77">
        <v>1117844000</v>
      </c>
      <c r="D19" s="74">
        <v>724770000</v>
      </c>
      <c r="E19" s="76">
        <f t="shared" si="4"/>
        <v>2348037000</v>
      </c>
      <c r="F19" s="66">
        <f t="shared" si="5"/>
        <v>0.21525342232682024</v>
      </c>
      <c r="G19" s="66">
        <f t="shared" si="6"/>
        <v>0.47607597324914386</v>
      </c>
      <c r="H19" s="71">
        <f t="shared" si="7"/>
        <v>0.30867060442403593</v>
      </c>
    </row>
    <row r="20" spans="1:8" ht="24" thickBot="1">
      <c r="A20" s="31" t="s">
        <v>30</v>
      </c>
      <c r="B20" s="190" t="e">
        <f>(#REF!+720099000)</f>
        <v>#REF!</v>
      </c>
      <c r="C20" s="199" t="e">
        <f>(#REF!+0)</f>
        <v>#REF!</v>
      </c>
      <c r="D20" s="200" t="e">
        <f>(#REF!+0)</f>
        <v>#REF!</v>
      </c>
      <c r="E20" s="195" t="e">
        <f t="shared" si="4"/>
        <v>#REF!</v>
      </c>
      <c r="F20" s="197" t="e">
        <f t="shared" si="5"/>
        <v>#REF!</v>
      </c>
      <c r="G20" s="197" t="e">
        <f t="shared" si="6"/>
        <v>#REF!</v>
      </c>
      <c r="H20" s="198" t="e">
        <f t="shared" si="7"/>
        <v>#REF!</v>
      </c>
    </row>
    <row r="21" spans="1:8" ht="24" thickBot="1">
      <c r="A21" s="78" t="s">
        <v>23</v>
      </c>
      <c r="B21" s="32">
        <f>(B18+B19)-B17</f>
        <v>2845752000</v>
      </c>
      <c r="C21" s="32">
        <f t="shared" ref="C21:D21" si="8">(C18+C19)-C17</f>
        <v>21128000</v>
      </c>
      <c r="D21" s="32">
        <f t="shared" si="8"/>
        <v>-239638000</v>
      </c>
      <c r="E21" s="80">
        <f t="shared" si="4"/>
        <v>2627242000</v>
      </c>
      <c r="F21" s="66">
        <f t="shared" si="5"/>
        <v>1.0831708689188129</v>
      </c>
      <c r="G21" s="66">
        <f t="shared" si="6"/>
        <v>8.0418933619362046E-3</v>
      </c>
      <c r="H21" s="71">
        <f t="shared" si="7"/>
        <v>-9.1212762280749163E-2</v>
      </c>
    </row>
    <row r="22" spans="1:8" ht="24" thickBot="1">
      <c r="A22" s="35" t="s">
        <v>24</v>
      </c>
      <c r="B22" s="36">
        <f>IFERROR(B21/#REF!,0)</f>
        <v>0</v>
      </c>
      <c r="C22" s="36">
        <f>IFERROR(C21/#REF!,0)</f>
        <v>0</v>
      </c>
      <c r="D22" s="36">
        <f>IFERROR(D21/#REF!,0)</f>
        <v>0</v>
      </c>
      <c r="E22" s="36">
        <f>IFERROR(E21/#REF!,0)</f>
        <v>0</v>
      </c>
      <c r="F22" s="37" t="e">
        <f>SUM(B22/E22)</f>
        <v>#DIV/0!</v>
      </c>
      <c r="G22" s="37" t="e">
        <f>SUM(D22/E22)</f>
        <v>#DIV/0!</v>
      </c>
      <c r="H22" s="37" t="e">
        <f>SUM(C22/E22)</f>
        <v>#DIV/0!</v>
      </c>
    </row>
    <row r="23" spans="1:8" ht="15.75">
      <c r="C23" t="s">
        <v>26</v>
      </c>
      <c r="D23" s="41">
        <v>16415000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50" zoomScaleNormal="50" workbookViewId="0">
      <selection activeCell="B21" sqref="B21:D21"/>
    </sheetView>
  </sheetViews>
  <sheetFormatPr defaultRowHeight="15"/>
  <cols>
    <col min="1" max="1" width="54.140625" bestFit="1" customWidth="1"/>
    <col min="2" max="2" width="29" bestFit="1" customWidth="1"/>
    <col min="3" max="4" width="28.85546875" bestFit="1" customWidth="1"/>
    <col min="5" max="5" width="29.42578125" bestFit="1" customWidth="1"/>
    <col min="6" max="6" width="11.85546875" bestFit="1" customWidth="1"/>
    <col min="7" max="7" width="12.140625" bestFit="1" customWidth="1"/>
    <col min="8" max="8" width="28.140625" customWidth="1"/>
  </cols>
  <sheetData>
    <row r="1" spans="1:8" ht="29.25" thickBot="1">
      <c r="A1" s="261" t="s">
        <v>31</v>
      </c>
      <c r="B1" s="262"/>
      <c r="C1" s="262"/>
      <c r="D1" s="262"/>
      <c r="E1" s="263"/>
      <c r="F1" s="258" t="s">
        <v>47</v>
      </c>
      <c r="G1" s="259"/>
      <c r="H1" s="260"/>
    </row>
    <row r="2" spans="1:8" ht="24" thickBot="1">
      <c r="A2" s="49" t="s">
        <v>1</v>
      </c>
      <c r="B2" s="2" t="s">
        <v>2</v>
      </c>
      <c r="C2" s="3" t="s">
        <v>43</v>
      </c>
      <c r="D2" s="81" t="s">
        <v>3</v>
      </c>
      <c r="E2" s="82" t="s">
        <v>4</v>
      </c>
      <c r="F2" s="83" t="s">
        <v>2</v>
      </c>
      <c r="G2" s="145" t="s">
        <v>43</v>
      </c>
      <c r="H2" s="83" t="s">
        <v>3</v>
      </c>
    </row>
    <row r="3" spans="1:8" ht="24" thickBot="1">
      <c r="A3" s="7" t="s">
        <v>5</v>
      </c>
      <c r="B3" s="54">
        <v>4791381000</v>
      </c>
      <c r="C3" s="55">
        <v>1306405000</v>
      </c>
      <c r="D3" s="84">
        <v>732850000</v>
      </c>
      <c r="E3" s="85">
        <f>SUM(B3+C3+D3)</f>
        <v>6830636000</v>
      </c>
      <c r="F3" s="59">
        <f t="shared" ref="F3:F8" si="0">B3/E3</f>
        <v>0.70145459368644447</v>
      </c>
      <c r="G3" s="86">
        <f t="shared" ref="G3:G8" si="1">C3/E3</f>
        <v>0.1912567146016857</v>
      </c>
      <c r="H3" s="59">
        <f t="shared" ref="H3:H8" si="2">D3/E3</f>
        <v>0.10728869171186987</v>
      </c>
    </row>
    <row r="4" spans="1:8" ht="24" thickBot="1">
      <c r="A4" s="7" t="s">
        <v>6</v>
      </c>
      <c r="B4" s="14">
        <v>1993940000</v>
      </c>
      <c r="C4" s="61">
        <v>836107000</v>
      </c>
      <c r="D4" s="87">
        <v>511913000</v>
      </c>
      <c r="E4" s="85">
        <f>SUM(B4:D4)</f>
        <v>3341960000</v>
      </c>
      <c r="F4" s="59">
        <f t="shared" si="0"/>
        <v>0.59663790111192239</v>
      </c>
      <c r="G4" s="86">
        <f t="shared" si="1"/>
        <v>0.25018462219775223</v>
      </c>
      <c r="H4" s="59">
        <f t="shared" si="2"/>
        <v>0.15317747669032544</v>
      </c>
    </row>
    <row r="5" spans="1:8" ht="24" thickBot="1">
      <c r="A5" s="7" t="s">
        <v>7</v>
      </c>
      <c r="B5" s="14">
        <v>1110408000</v>
      </c>
      <c r="C5" s="61">
        <v>564494000</v>
      </c>
      <c r="D5" s="16">
        <v>455841000</v>
      </c>
      <c r="E5" s="88">
        <f>SUM(B5+C5+D5)</f>
        <v>2130743000</v>
      </c>
      <c r="F5" s="59">
        <f t="shared" si="0"/>
        <v>0.521136523738433</v>
      </c>
      <c r="G5" s="86">
        <f t="shared" si="1"/>
        <v>0.26492824334046855</v>
      </c>
      <c r="H5" s="59">
        <f t="shared" si="2"/>
        <v>0.21393523292109842</v>
      </c>
    </row>
    <row r="6" spans="1:8" ht="24" thickBot="1">
      <c r="A6" s="7" t="s">
        <v>8</v>
      </c>
      <c r="B6" s="14">
        <f>B3-B5</f>
        <v>3680973000</v>
      </c>
      <c r="C6" s="61">
        <f>C3-C5</f>
        <v>741911000</v>
      </c>
      <c r="D6" s="16">
        <f>D3-D5</f>
        <v>277009000</v>
      </c>
      <c r="E6" s="88">
        <f>SUM(B6+C6+D6)</f>
        <v>4699893000</v>
      </c>
      <c r="F6" s="59">
        <f t="shared" si="0"/>
        <v>0.78320357506011307</v>
      </c>
      <c r="G6" s="86">
        <f t="shared" si="1"/>
        <v>0.15785699802101877</v>
      </c>
      <c r="H6" s="59">
        <f t="shared" si="2"/>
        <v>5.8939426918868151E-2</v>
      </c>
    </row>
    <row r="7" spans="1:8" ht="24" thickBot="1">
      <c r="A7" s="7" t="s">
        <v>9</v>
      </c>
      <c r="B7" s="14">
        <v>5770507000</v>
      </c>
      <c r="C7" s="89">
        <f>C10+217338000+42789000</f>
        <v>613325000</v>
      </c>
      <c r="D7" s="90">
        <f>D10+11801000</f>
        <v>-400809000</v>
      </c>
      <c r="E7" s="91">
        <f>SUM(B7+C7+D7)</f>
        <v>5983023000</v>
      </c>
      <c r="F7" s="59">
        <f t="shared" si="0"/>
        <v>0.96448016328869202</v>
      </c>
      <c r="G7" s="86">
        <f t="shared" si="1"/>
        <v>0.10251088789061984</v>
      </c>
      <c r="H7" s="59">
        <f t="shared" si="2"/>
        <v>-6.6991051179311867E-2</v>
      </c>
    </row>
    <row r="8" spans="1:8" ht="23.25">
      <c r="A8" s="7" t="s">
        <v>28</v>
      </c>
      <c r="B8" s="92">
        <v>1253153000</v>
      </c>
      <c r="C8" s="93">
        <v>-353198000</v>
      </c>
      <c r="D8" s="94">
        <v>-412610000</v>
      </c>
      <c r="E8" s="95">
        <f>SUM(B8+C8+D8)</f>
        <v>487345000</v>
      </c>
      <c r="F8" s="59">
        <f t="shared" si="0"/>
        <v>2.5713878258728418</v>
      </c>
      <c r="G8" s="86">
        <f t="shared" si="1"/>
        <v>-0.7247391478316183</v>
      </c>
      <c r="H8" s="59">
        <f t="shared" si="2"/>
        <v>-0.84664867804122335</v>
      </c>
    </row>
    <row r="9" spans="1:8" ht="24" thickBot="1">
      <c r="A9" s="7" t="s">
        <v>11</v>
      </c>
      <c r="B9" s="96">
        <f>B8/B3</f>
        <v>0.2615431751305104</v>
      </c>
      <c r="C9" s="97">
        <f>C8/C3</f>
        <v>-0.27035873255230958</v>
      </c>
      <c r="D9" s="98">
        <f>D8/D3</f>
        <v>-0.56302108207682333</v>
      </c>
      <c r="E9" s="39"/>
      <c r="F9" s="99"/>
      <c r="G9" s="43"/>
      <c r="H9" s="99"/>
    </row>
    <row r="10" spans="1:8" ht="24" thickBot="1">
      <c r="A10" s="7" t="s">
        <v>12</v>
      </c>
      <c r="B10" s="100">
        <v>1641652000</v>
      </c>
      <c r="C10" s="33">
        <v>353198000</v>
      </c>
      <c r="D10" s="84">
        <v>-412610000</v>
      </c>
      <c r="E10" s="101">
        <f t="shared" ref="E10:E21" si="3">SUM(B10+C10+D10)</f>
        <v>1582240000</v>
      </c>
      <c r="F10" s="59">
        <f t="shared" ref="F10:F19" si="4">B10/E10</f>
        <v>1.037549297198908</v>
      </c>
      <c r="G10" s="102">
        <f t="shared" ref="G10:G19" si="5">C10/E10</f>
        <v>0.22322656487005765</v>
      </c>
      <c r="H10" s="59">
        <f t="shared" ref="H10:H19" si="6">D10/E10</f>
        <v>-0.26077586206896552</v>
      </c>
    </row>
    <row r="11" spans="1:8" ht="24" thickBot="1">
      <c r="A11" s="7" t="s">
        <v>13</v>
      </c>
      <c r="B11" s="103">
        <v>1539693000</v>
      </c>
      <c r="C11" s="104">
        <v>705405000</v>
      </c>
      <c r="D11" s="87">
        <v>100951000</v>
      </c>
      <c r="E11" s="101">
        <f t="shared" si="3"/>
        <v>2346049000</v>
      </c>
      <c r="F11" s="59">
        <f t="shared" si="4"/>
        <v>0.65629191888148963</v>
      </c>
      <c r="G11" s="102">
        <f t="shared" si="5"/>
        <v>0.30067786307958616</v>
      </c>
      <c r="H11" s="59">
        <f t="shared" si="6"/>
        <v>4.3030218038924165E-2</v>
      </c>
    </row>
    <row r="12" spans="1:8" ht="24" thickBot="1">
      <c r="A12" s="7" t="s">
        <v>14</v>
      </c>
      <c r="B12" s="103">
        <v>5770507000</v>
      </c>
      <c r="C12" s="104">
        <v>1807758000</v>
      </c>
      <c r="D12" s="87">
        <v>1155318000</v>
      </c>
      <c r="E12" s="101">
        <f t="shared" si="3"/>
        <v>8733583000</v>
      </c>
      <c r="F12" s="59">
        <f t="shared" si="4"/>
        <v>0.66072618763684965</v>
      </c>
      <c r="G12" s="102">
        <f t="shared" si="5"/>
        <v>0.20698927347458654</v>
      </c>
      <c r="H12" s="59">
        <f t="shared" si="6"/>
        <v>0.13228453888856384</v>
      </c>
    </row>
    <row r="13" spans="1:8" ht="24" thickBot="1">
      <c r="A13" s="7" t="s">
        <v>15</v>
      </c>
      <c r="B13" s="14">
        <f>B11+B12</f>
        <v>7310200000</v>
      </c>
      <c r="C13" s="105">
        <v>2513163000</v>
      </c>
      <c r="D13" s="16">
        <v>1256269000</v>
      </c>
      <c r="E13" s="88">
        <f t="shared" si="3"/>
        <v>11079632000</v>
      </c>
      <c r="F13" s="59">
        <f t="shared" si="4"/>
        <v>0.65978725647205616</v>
      </c>
      <c r="G13" s="102">
        <f t="shared" si="5"/>
        <v>0.22682729895722167</v>
      </c>
      <c r="H13" s="59">
        <f t="shared" si="6"/>
        <v>0.11338544457072221</v>
      </c>
    </row>
    <row r="14" spans="1:8" ht="24" thickBot="1">
      <c r="A14" s="7" t="s">
        <v>16</v>
      </c>
      <c r="B14" s="14">
        <v>2121254000</v>
      </c>
      <c r="C14" s="105">
        <v>1109563000</v>
      </c>
      <c r="D14" s="16">
        <v>1698175000</v>
      </c>
      <c r="E14" s="88">
        <f t="shared" si="3"/>
        <v>4928992000</v>
      </c>
      <c r="F14" s="59">
        <f t="shared" si="4"/>
        <v>0.43036263804039449</v>
      </c>
      <c r="G14" s="102">
        <f t="shared" si="5"/>
        <v>0.22510951529237622</v>
      </c>
      <c r="H14" s="59">
        <f t="shared" si="6"/>
        <v>0.3445278466672293</v>
      </c>
    </row>
    <row r="15" spans="1:8" ht="24" thickBot="1">
      <c r="A15" s="7" t="s">
        <v>17</v>
      </c>
      <c r="B15" s="14">
        <v>2115251000</v>
      </c>
      <c r="C15" s="105">
        <v>2784266000</v>
      </c>
      <c r="D15" s="16">
        <v>1067648000</v>
      </c>
      <c r="E15" s="88">
        <f t="shared" si="3"/>
        <v>5967165000</v>
      </c>
      <c r="F15" s="59">
        <f t="shared" si="4"/>
        <v>0.35448173462607452</v>
      </c>
      <c r="G15" s="102">
        <f t="shared" si="5"/>
        <v>0.46659778973767274</v>
      </c>
      <c r="H15" s="59">
        <f t="shared" si="6"/>
        <v>0.17892047563625271</v>
      </c>
    </row>
    <row r="16" spans="1:8" ht="24" thickBot="1">
      <c r="A16" s="7" t="s">
        <v>18</v>
      </c>
      <c r="B16" s="14">
        <f>B14+B15</f>
        <v>4236505000</v>
      </c>
      <c r="C16" s="106">
        <v>3893829000</v>
      </c>
      <c r="D16" s="16">
        <v>2765823000</v>
      </c>
      <c r="E16" s="88">
        <f t="shared" si="3"/>
        <v>10896157000</v>
      </c>
      <c r="F16" s="59">
        <f t="shared" si="4"/>
        <v>0.38880726479987393</v>
      </c>
      <c r="G16" s="102">
        <f t="shared" si="5"/>
        <v>0.35735801163657976</v>
      </c>
      <c r="H16" s="59">
        <f t="shared" si="6"/>
        <v>0.25383472356354631</v>
      </c>
    </row>
    <row r="17" spans="1:8" ht="24" thickBot="1">
      <c r="A17" s="7" t="s">
        <v>29</v>
      </c>
      <c r="B17" s="14">
        <v>518499000</v>
      </c>
      <c r="C17" s="106">
        <v>195359000</v>
      </c>
      <c r="D17" s="16">
        <v>-153566000</v>
      </c>
      <c r="E17" s="88">
        <f t="shared" si="3"/>
        <v>560292000</v>
      </c>
      <c r="F17" s="59">
        <f t="shared" si="4"/>
        <v>0.92540853697714764</v>
      </c>
      <c r="G17" s="102">
        <f t="shared" si="5"/>
        <v>0.34867354879241541</v>
      </c>
      <c r="H17" s="59">
        <f t="shared" si="6"/>
        <v>-0.274082085769563</v>
      </c>
    </row>
    <row r="18" spans="1:8" ht="24" thickBot="1">
      <c r="A18" s="7" t="s">
        <v>20</v>
      </c>
      <c r="B18" s="14">
        <v>3073695000</v>
      </c>
      <c r="C18" s="106">
        <v>-1380666000</v>
      </c>
      <c r="D18" s="16">
        <v>-1509554000</v>
      </c>
      <c r="E18" s="88">
        <f t="shared" si="3"/>
        <v>183475000</v>
      </c>
      <c r="F18" s="59">
        <f t="shared" si="4"/>
        <v>16.752663850660852</v>
      </c>
      <c r="G18" s="102">
        <f t="shared" si="5"/>
        <v>-7.525090611799973</v>
      </c>
      <c r="H18" s="59">
        <f t="shared" si="6"/>
        <v>-8.2275732388608809</v>
      </c>
    </row>
    <row r="19" spans="1:8" ht="23.25">
      <c r="A19" s="7" t="s">
        <v>21</v>
      </c>
      <c r="B19" s="14">
        <v>837095000</v>
      </c>
      <c r="C19" s="106">
        <v>1382509000</v>
      </c>
      <c r="D19" s="16">
        <v>741892000</v>
      </c>
      <c r="E19" s="88">
        <f t="shared" si="3"/>
        <v>2961496000</v>
      </c>
      <c r="F19" s="59">
        <f t="shared" si="4"/>
        <v>0.28265950722202565</v>
      </c>
      <c r="G19" s="102">
        <f t="shared" si="5"/>
        <v>0.4668279140002215</v>
      </c>
      <c r="H19" s="59">
        <f t="shared" si="6"/>
        <v>0.25051257877775285</v>
      </c>
    </row>
    <row r="20" spans="1:8" ht="24" thickBot="1">
      <c r="A20" s="31" t="s">
        <v>30</v>
      </c>
      <c r="B20" s="190" t="e">
        <f>(#REF!+970746000)</f>
        <v>#REF!</v>
      </c>
      <c r="C20" s="204" t="e">
        <f>(#REF!+0)</f>
        <v>#REF!</v>
      </c>
      <c r="D20" s="87" t="e">
        <f>(#REF!+0)</f>
        <v>#REF!</v>
      </c>
      <c r="E20" s="201" t="e">
        <f t="shared" si="3"/>
        <v>#REF!</v>
      </c>
      <c r="F20" s="202" t="e">
        <f>SUM(B20/E20)</f>
        <v>#REF!</v>
      </c>
      <c r="G20" s="203" t="e">
        <f>SUM(D20/E20)</f>
        <v>#REF!</v>
      </c>
      <c r="H20" s="202" t="e">
        <f>SUM(C20/E20)</f>
        <v>#REF!</v>
      </c>
    </row>
    <row r="21" spans="1:8" ht="24" thickBot="1">
      <c r="A21" s="31" t="s">
        <v>23</v>
      </c>
      <c r="B21" s="32">
        <f>(B18+B19)-B17</f>
        <v>3392291000</v>
      </c>
      <c r="C21" s="32">
        <f t="shared" ref="C21:D21" si="7">(C18+C19)-C17</f>
        <v>-193516000</v>
      </c>
      <c r="D21" s="32">
        <f t="shared" si="7"/>
        <v>-614096000</v>
      </c>
      <c r="E21" s="107">
        <f t="shared" si="3"/>
        <v>2584679000</v>
      </c>
      <c r="F21" s="13">
        <f>SUM(B21/E21)</f>
        <v>1.312461237933221</v>
      </c>
      <c r="G21" s="52">
        <f>SUM(D21/E21)</f>
        <v>-0.23759081882121533</v>
      </c>
      <c r="H21" s="13">
        <f>SUM(C21/E21)</f>
        <v>-7.4870419112005787E-2</v>
      </c>
    </row>
    <row r="22" spans="1:8" ht="24" thickBot="1">
      <c r="A22" s="35" t="s">
        <v>24</v>
      </c>
      <c r="B22" s="36">
        <f>IFERROR(B21/#REF!,0)</f>
        <v>0</v>
      </c>
      <c r="C22" s="36">
        <f>IFERROR(C21/#REF!,0)</f>
        <v>0</v>
      </c>
      <c r="D22" s="36">
        <f>IFERROR(D21/#REF!,0)</f>
        <v>0</v>
      </c>
      <c r="E22" s="36">
        <f>IFERROR(E21/#REF!,0)</f>
        <v>0</v>
      </c>
      <c r="F22" s="37" t="e">
        <f>SUM(B22/E22)</f>
        <v>#DIV/0!</v>
      </c>
      <c r="G22" s="37" t="e">
        <f>SUM(D22/E22)</f>
        <v>#DIV/0!</v>
      </c>
      <c r="H22" s="37" t="e">
        <f>SUM(C22/E22)</f>
        <v>#DIV/0!</v>
      </c>
    </row>
    <row r="23" spans="1:8">
      <c r="C23" t="s">
        <v>32</v>
      </c>
      <c r="D23" s="108">
        <f>SUM(59559000+474042000+2366000-11803000)</f>
        <v>524164000</v>
      </c>
    </row>
    <row r="24" spans="1:8" ht="15.75">
      <c r="C24" t="s">
        <v>33</v>
      </c>
      <c r="D24" s="41">
        <v>11803000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50" zoomScaleNormal="50" workbookViewId="0">
      <selection activeCell="B21" sqref="B21:D21"/>
    </sheetView>
  </sheetViews>
  <sheetFormatPr defaultRowHeight="15"/>
  <cols>
    <col min="1" max="1" width="54.140625" bestFit="1" customWidth="1"/>
    <col min="2" max="2" width="29" bestFit="1" customWidth="1"/>
    <col min="3" max="4" width="28.85546875" bestFit="1" customWidth="1"/>
    <col min="5" max="5" width="29.42578125" bestFit="1" customWidth="1"/>
    <col min="6" max="6" width="12.28515625" bestFit="1" customWidth="1"/>
    <col min="7" max="7" width="12.85546875" bestFit="1" customWidth="1"/>
    <col min="8" max="8" width="24.5703125" customWidth="1"/>
  </cols>
  <sheetData>
    <row r="1" spans="1:8" ht="29.25" thickBot="1">
      <c r="A1" s="258" t="s">
        <v>34</v>
      </c>
      <c r="B1" s="259"/>
      <c r="C1" s="259"/>
      <c r="D1" s="259"/>
      <c r="E1" s="260"/>
      <c r="F1" s="258" t="s">
        <v>47</v>
      </c>
      <c r="G1" s="259"/>
      <c r="H1" s="260"/>
    </row>
    <row r="2" spans="1:8" ht="24" thickBot="1">
      <c r="A2" s="109" t="s">
        <v>1</v>
      </c>
      <c r="B2" s="2" t="s">
        <v>2</v>
      </c>
      <c r="C2" s="3" t="s">
        <v>43</v>
      </c>
      <c r="D2" s="51" t="s">
        <v>3</v>
      </c>
      <c r="E2" s="5" t="s">
        <v>4</v>
      </c>
      <c r="F2" s="83" t="s">
        <v>2</v>
      </c>
      <c r="G2" s="5" t="s">
        <v>43</v>
      </c>
      <c r="H2" s="83" t="s">
        <v>3</v>
      </c>
    </row>
    <row r="3" spans="1:8" ht="24" thickBot="1">
      <c r="A3" s="110" t="s">
        <v>5</v>
      </c>
      <c r="B3" s="8">
        <v>6111833000</v>
      </c>
      <c r="C3" s="111">
        <v>1286921000</v>
      </c>
      <c r="D3" s="56">
        <v>1520600000</v>
      </c>
      <c r="E3" s="112">
        <f t="shared" ref="E3:E8" si="0">SUM(B3:D3)</f>
        <v>8919354000</v>
      </c>
      <c r="F3" s="59">
        <f t="shared" ref="F3:F8" si="1">B3/E3</f>
        <v>0.68523269734557013</v>
      </c>
      <c r="G3" s="59">
        <f t="shared" ref="G3:G8" si="2">C3/E3</f>
        <v>0.14428410398331537</v>
      </c>
      <c r="H3" s="59">
        <f t="shared" ref="H3:H8" si="3">D3/E3</f>
        <v>0.17048319867111453</v>
      </c>
    </row>
    <row r="4" spans="1:8" ht="24" thickBot="1">
      <c r="A4" s="110" t="s">
        <v>6</v>
      </c>
      <c r="B4" s="14">
        <v>2445021000</v>
      </c>
      <c r="C4" s="61">
        <v>716957000</v>
      </c>
      <c r="D4" s="56">
        <v>535997000</v>
      </c>
      <c r="E4" s="75">
        <f t="shared" si="0"/>
        <v>3697975000</v>
      </c>
      <c r="F4" s="59">
        <f t="shared" si="1"/>
        <v>0.6611783476091645</v>
      </c>
      <c r="G4" s="59">
        <f t="shared" si="2"/>
        <v>0.19387827121600335</v>
      </c>
      <c r="H4" s="59">
        <f t="shared" si="3"/>
        <v>0.14494338117483216</v>
      </c>
    </row>
    <row r="5" spans="1:8" ht="24" thickBot="1">
      <c r="A5" s="110" t="s">
        <v>7</v>
      </c>
      <c r="B5" s="14">
        <v>1355097000</v>
      </c>
      <c r="C5" s="61">
        <v>521437000</v>
      </c>
      <c r="D5" s="74">
        <v>397154000</v>
      </c>
      <c r="E5" s="75">
        <f t="shared" si="0"/>
        <v>2273688000</v>
      </c>
      <c r="F5" s="59">
        <f t="shared" si="1"/>
        <v>0.59599074279320641</v>
      </c>
      <c r="G5" s="59">
        <f t="shared" si="2"/>
        <v>0.22933533536703365</v>
      </c>
      <c r="H5" s="59">
        <f t="shared" si="3"/>
        <v>0.17467392183975991</v>
      </c>
    </row>
    <row r="6" spans="1:8" ht="24" thickBot="1">
      <c r="A6" s="110" t="s">
        <v>8</v>
      </c>
      <c r="B6" s="14">
        <f>B3-B5</f>
        <v>4756736000</v>
      </c>
      <c r="C6" s="61">
        <f>C3-C5</f>
        <v>765484000</v>
      </c>
      <c r="D6" s="74">
        <f>D3-D5</f>
        <v>1123446000</v>
      </c>
      <c r="E6" s="75">
        <f t="shared" si="0"/>
        <v>6645666000</v>
      </c>
      <c r="F6" s="59">
        <f t="shared" si="1"/>
        <v>0.71576513174149892</v>
      </c>
      <c r="G6" s="59">
        <f t="shared" si="2"/>
        <v>0.11518544567241266</v>
      </c>
      <c r="H6" s="59">
        <f t="shared" si="3"/>
        <v>0.16904942258608843</v>
      </c>
    </row>
    <row r="7" spans="1:8" ht="24" thickBot="1">
      <c r="A7" s="110" t="s">
        <v>9</v>
      </c>
      <c r="B7" s="14">
        <v>3344416000</v>
      </c>
      <c r="C7" s="61">
        <v>-149906000</v>
      </c>
      <c r="D7" s="74">
        <f>D10+8230000</f>
        <v>505398000</v>
      </c>
      <c r="E7" s="75">
        <f t="shared" si="0"/>
        <v>3699908000</v>
      </c>
      <c r="F7" s="59">
        <f t="shared" si="1"/>
        <v>0.90391869203234243</v>
      </c>
      <c r="G7" s="59">
        <f t="shared" si="2"/>
        <v>-4.051614256354482E-2</v>
      </c>
      <c r="H7" s="59">
        <f t="shared" si="3"/>
        <v>0.1365974505312024</v>
      </c>
    </row>
    <row r="8" spans="1:8" ht="24" thickBot="1">
      <c r="A8" s="110" t="s">
        <v>28</v>
      </c>
      <c r="B8" s="14">
        <v>1780258000</v>
      </c>
      <c r="C8" s="61">
        <v>-149906000</v>
      </c>
      <c r="D8" s="74">
        <v>446161000</v>
      </c>
      <c r="E8" s="75">
        <f t="shared" si="0"/>
        <v>2076513000</v>
      </c>
      <c r="F8" s="59">
        <f t="shared" si="1"/>
        <v>0.85733053441033114</v>
      </c>
      <c r="G8" s="59">
        <f t="shared" si="2"/>
        <v>-7.2191216717641546E-2</v>
      </c>
      <c r="H8" s="59">
        <f t="shared" si="3"/>
        <v>0.21486068230731037</v>
      </c>
    </row>
    <row r="9" spans="1:8" ht="24" thickBot="1">
      <c r="A9" s="110" t="s">
        <v>11</v>
      </c>
      <c r="B9" s="113">
        <f>B8/B3</f>
        <v>0.29128053727907816</v>
      </c>
      <c r="C9" s="114">
        <f>C8/C3</f>
        <v>-0.11648422863563497</v>
      </c>
      <c r="D9" s="115">
        <f>D8/D3</f>
        <v>0.29341115349204261</v>
      </c>
      <c r="E9" s="75"/>
      <c r="F9" s="59"/>
      <c r="G9" s="59"/>
      <c r="H9" s="58"/>
    </row>
    <row r="10" spans="1:8" ht="24" thickBot="1">
      <c r="A10" s="110" t="s">
        <v>12</v>
      </c>
      <c r="B10" s="14">
        <v>2358879000</v>
      </c>
      <c r="C10" s="61">
        <v>-149906000</v>
      </c>
      <c r="D10" s="74">
        <v>497168000</v>
      </c>
      <c r="E10" s="75">
        <f t="shared" ref="E10:E21" si="4">SUM(B10:D10)</f>
        <v>2706141000</v>
      </c>
      <c r="F10" s="59">
        <f t="shared" ref="F10:F19" si="5">B10/E10</f>
        <v>0.87167630954928066</v>
      </c>
      <c r="G10" s="59">
        <f t="shared" ref="G10:G19" si="6">C10/E10</f>
        <v>-5.5394748462848017E-2</v>
      </c>
      <c r="H10" s="58">
        <f t="shared" ref="H10:H19" si="7">D10/E10</f>
        <v>0.18371843891356732</v>
      </c>
    </row>
    <row r="11" spans="1:8" ht="24" thickBot="1">
      <c r="A11" s="110" t="s">
        <v>13</v>
      </c>
      <c r="B11" s="14">
        <v>1829487000</v>
      </c>
      <c r="C11" s="61">
        <v>746233000</v>
      </c>
      <c r="D11" s="74">
        <v>107790000</v>
      </c>
      <c r="E11" s="75">
        <f t="shared" si="4"/>
        <v>2683510000</v>
      </c>
      <c r="F11" s="59">
        <f t="shared" si="5"/>
        <v>0.68175151201225259</v>
      </c>
      <c r="G11" s="59">
        <f t="shared" si="6"/>
        <v>0.27808094622341634</v>
      </c>
      <c r="H11" s="58">
        <f t="shared" si="7"/>
        <v>4.0167541764331044E-2</v>
      </c>
    </row>
    <row r="12" spans="1:8" ht="24" thickBot="1">
      <c r="A12" s="110" t="s">
        <v>14</v>
      </c>
      <c r="B12" s="14">
        <v>6150453000</v>
      </c>
      <c r="C12" s="61">
        <v>1827944000</v>
      </c>
      <c r="D12" s="74">
        <v>906279000</v>
      </c>
      <c r="E12" s="75">
        <f t="shared" si="4"/>
        <v>8884676000</v>
      </c>
      <c r="F12" s="59">
        <f t="shared" si="5"/>
        <v>0.69225405630998815</v>
      </c>
      <c r="G12" s="59">
        <f t="shared" si="6"/>
        <v>0.20574121104697571</v>
      </c>
      <c r="H12" s="58">
        <f t="shared" si="7"/>
        <v>0.10200473264303617</v>
      </c>
    </row>
    <row r="13" spans="1:8" ht="24" thickBot="1">
      <c r="A13" s="110" t="s">
        <v>15</v>
      </c>
      <c r="B13" s="14">
        <f>B11+B12</f>
        <v>7979940000</v>
      </c>
      <c r="C13" s="61">
        <v>2574177000</v>
      </c>
      <c r="D13" s="74">
        <v>1014070000</v>
      </c>
      <c r="E13" s="75">
        <f t="shared" si="4"/>
        <v>11568187000</v>
      </c>
      <c r="F13" s="59">
        <f t="shared" si="5"/>
        <v>0.68981768707577085</v>
      </c>
      <c r="G13" s="59">
        <f t="shared" si="6"/>
        <v>0.22252207714138783</v>
      </c>
      <c r="H13" s="58">
        <f t="shared" si="7"/>
        <v>8.7660235782841336E-2</v>
      </c>
    </row>
    <row r="14" spans="1:8" ht="24" thickBot="1">
      <c r="A14" s="110" t="s">
        <v>16</v>
      </c>
      <c r="B14" s="14">
        <v>1898422000</v>
      </c>
      <c r="C14" s="61">
        <v>911915000</v>
      </c>
      <c r="D14" s="74">
        <v>1061711000</v>
      </c>
      <c r="E14" s="75">
        <f t="shared" si="4"/>
        <v>3872048000</v>
      </c>
      <c r="F14" s="59">
        <f t="shared" si="5"/>
        <v>0.49028886005545386</v>
      </c>
      <c r="G14" s="59">
        <f t="shared" si="6"/>
        <v>0.23551231802911535</v>
      </c>
      <c r="H14" s="58">
        <f t="shared" si="7"/>
        <v>0.27419882191543082</v>
      </c>
    </row>
    <row r="15" spans="1:8" ht="24" thickBot="1">
      <c r="A15" s="110" t="s">
        <v>17</v>
      </c>
      <c r="B15" s="14">
        <v>2210803000</v>
      </c>
      <c r="C15" s="61">
        <v>3192834000</v>
      </c>
      <c r="D15" s="74">
        <v>996752000</v>
      </c>
      <c r="E15" s="75">
        <f t="shared" si="4"/>
        <v>6400389000</v>
      </c>
      <c r="F15" s="59">
        <f t="shared" si="5"/>
        <v>0.34541697387455667</v>
      </c>
      <c r="G15" s="59">
        <f t="shared" si="6"/>
        <v>0.49884999177393752</v>
      </c>
      <c r="H15" s="58">
        <f t="shared" si="7"/>
        <v>0.15573303435150582</v>
      </c>
    </row>
    <row r="16" spans="1:8" ht="24" thickBot="1">
      <c r="A16" s="110" t="s">
        <v>18</v>
      </c>
      <c r="B16" s="14">
        <f>B14+B15</f>
        <v>4109225000</v>
      </c>
      <c r="C16" s="61">
        <v>4104749000</v>
      </c>
      <c r="D16" s="74">
        <v>2058463000</v>
      </c>
      <c r="E16" s="75">
        <f t="shared" si="4"/>
        <v>10272437000</v>
      </c>
      <c r="F16" s="59">
        <f t="shared" si="5"/>
        <v>0.40002435644044348</v>
      </c>
      <c r="G16" s="59">
        <f t="shared" si="6"/>
        <v>0.39958862731404438</v>
      </c>
      <c r="H16" s="58">
        <f t="shared" si="7"/>
        <v>0.20038701624551214</v>
      </c>
    </row>
    <row r="17" spans="1:8" ht="24" thickBot="1">
      <c r="A17" s="110" t="s">
        <v>29</v>
      </c>
      <c r="B17" s="14">
        <v>621715000</v>
      </c>
      <c r="C17" s="61">
        <v>175846000</v>
      </c>
      <c r="D17" s="74">
        <v>-150312000</v>
      </c>
      <c r="E17" s="75">
        <f t="shared" si="4"/>
        <v>647249000</v>
      </c>
      <c r="F17" s="59">
        <f t="shared" si="5"/>
        <v>0.96054995836223767</v>
      </c>
      <c r="G17" s="59">
        <f t="shared" si="6"/>
        <v>0.27168215014623431</v>
      </c>
      <c r="H17" s="58">
        <f t="shared" si="7"/>
        <v>-0.23223210850847201</v>
      </c>
    </row>
    <row r="18" spans="1:8" ht="24" thickBot="1">
      <c r="A18" s="110" t="s">
        <v>20</v>
      </c>
      <c r="B18" s="14">
        <v>3870715000</v>
      </c>
      <c r="C18" s="61">
        <v>-1530572000</v>
      </c>
      <c r="D18" s="74">
        <v>-1044393000</v>
      </c>
      <c r="E18" s="75">
        <f t="shared" si="4"/>
        <v>1295750000</v>
      </c>
      <c r="F18" s="59">
        <f t="shared" si="5"/>
        <v>2.9872390507428133</v>
      </c>
      <c r="G18" s="59">
        <f t="shared" si="6"/>
        <v>-1.1812247732973182</v>
      </c>
      <c r="H18" s="58">
        <f t="shared" si="7"/>
        <v>-0.80601427744549492</v>
      </c>
    </row>
    <row r="19" spans="1:8" ht="23.25">
      <c r="A19" s="110" t="s">
        <v>21</v>
      </c>
      <c r="B19" s="14">
        <v>569090000</v>
      </c>
      <c r="C19" s="61">
        <v>1391766000</v>
      </c>
      <c r="D19" s="74">
        <v>463424000</v>
      </c>
      <c r="E19" s="75">
        <f t="shared" si="4"/>
        <v>2424280000</v>
      </c>
      <c r="F19" s="59">
        <f t="shared" si="5"/>
        <v>0.23474598643721023</v>
      </c>
      <c r="G19" s="59">
        <f t="shared" si="6"/>
        <v>0.57409457653406371</v>
      </c>
      <c r="H19" s="58">
        <f t="shared" si="7"/>
        <v>0.19115943702872606</v>
      </c>
    </row>
    <row r="20" spans="1:8" ht="24" thickBot="1">
      <c r="A20" s="116" t="s">
        <v>30</v>
      </c>
      <c r="B20" s="190" t="e">
        <f>(#REF!+222355000)</f>
        <v>#REF!</v>
      </c>
      <c r="C20" s="205" t="e">
        <f>(#REF!+0)</f>
        <v>#REF!</v>
      </c>
      <c r="D20" s="200" t="e">
        <f>(#REF!+0)</f>
        <v>#REF!</v>
      </c>
      <c r="E20" s="196" t="e">
        <f t="shared" si="4"/>
        <v>#REF!</v>
      </c>
      <c r="F20" s="188" t="e">
        <f>SUM(B20/E20)</f>
        <v>#REF!</v>
      </c>
      <c r="G20" s="188" t="e">
        <f>SUM(D20/E20)</f>
        <v>#REF!</v>
      </c>
      <c r="H20" s="188" t="e">
        <f>SUM(C20/E20)</f>
        <v>#REF!</v>
      </c>
    </row>
    <row r="21" spans="1:8" ht="24" thickBot="1">
      <c r="A21" s="116" t="s">
        <v>23</v>
      </c>
      <c r="B21" s="32">
        <f>(B18+B19)-B17</f>
        <v>3818090000</v>
      </c>
      <c r="C21" s="32">
        <f t="shared" ref="C21:D21" si="8">(C18+C19)-C17</f>
        <v>-314652000</v>
      </c>
      <c r="D21" s="32">
        <f t="shared" si="8"/>
        <v>-430657000</v>
      </c>
      <c r="E21" s="117">
        <f t="shared" si="4"/>
        <v>3072781000</v>
      </c>
      <c r="F21" s="118">
        <f>SUM(B21/E21)</f>
        <v>1.2425519423610079</v>
      </c>
      <c r="G21" s="118">
        <f>SUM(D21/E21)</f>
        <v>-0.14015219438026985</v>
      </c>
      <c r="H21" s="118">
        <f>SUM(C21/E21)</f>
        <v>-0.10239974798073798</v>
      </c>
    </row>
    <row r="22" spans="1:8" ht="24" thickBot="1">
      <c r="A22" s="83" t="s">
        <v>35</v>
      </c>
      <c r="B22" s="36">
        <f>IFERROR(B21/#REF!,0)</f>
        <v>0</v>
      </c>
      <c r="C22" s="36">
        <f>IFERROR(C21/#REF!,0)</f>
        <v>0</v>
      </c>
      <c r="D22" s="36">
        <f>IFERROR(D21/#REF!,0)</f>
        <v>0</v>
      </c>
      <c r="E22" s="36">
        <f>IFERROR(E21/#REF!,0)</f>
        <v>0</v>
      </c>
      <c r="F22" s="37" t="e">
        <f>SUM(B22/E22)</f>
        <v>#DIV/0!</v>
      </c>
      <c r="G22" s="37" t="e">
        <f>SUM(D22/E22)</f>
        <v>#DIV/0!</v>
      </c>
      <c r="H22" s="37" t="e">
        <f>SUM(C22/E22)</f>
        <v>#DIV/0!</v>
      </c>
    </row>
    <row r="23" spans="1:8" ht="37.5">
      <c r="A23" s="119" t="s">
        <v>36</v>
      </c>
      <c r="C23" s="120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50" zoomScaleNormal="50" workbookViewId="0">
      <selection activeCell="B21" sqref="B21:D21"/>
    </sheetView>
  </sheetViews>
  <sheetFormatPr defaultRowHeight="15"/>
  <cols>
    <col min="1" max="1" width="60.42578125" bestFit="1" customWidth="1"/>
    <col min="2" max="2" width="29" bestFit="1" customWidth="1"/>
    <col min="3" max="4" width="28.85546875" bestFit="1" customWidth="1"/>
    <col min="5" max="5" width="29.42578125" bestFit="1" customWidth="1"/>
    <col min="6" max="6" width="12.28515625" bestFit="1" customWidth="1"/>
    <col min="7" max="7" width="12.85546875" bestFit="1" customWidth="1"/>
    <col min="8" max="8" width="26.140625" customWidth="1"/>
  </cols>
  <sheetData>
    <row r="1" spans="1:8" ht="29.25" thickBot="1">
      <c r="A1" s="258" t="s">
        <v>37</v>
      </c>
      <c r="B1" s="259"/>
      <c r="C1" s="259"/>
      <c r="D1" s="259"/>
      <c r="E1" s="260"/>
      <c r="F1" s="258" t="s">
        <v>47</v>
      </c>
      <c r="G1" s="259"/>
      <c r="H1" s="260"/>
    </row>
    <row r="2" spans="1:8" ht="24" thickBot="1">
      <c r="A2" s="109" t="s">
        <v>1</v>
      </c>
      <c r="B2" s="121" t="s">
        <v>2</v>
      </c>
      <c r="C2" s="3" t="s">
        <v>43</v>
      </c>
      <c r="D2" s="51" t="s">
        <v>3</v>
      </c>
      <c r="E2" s="5" t="s">
        <v>4</v>
      </c>
      <c r="F2" s="83" t="s">
        <v>2</v>
      </c>
      <c r="G2" s="5" t="s">
        <v>43</v>
      </c>
      <c r="H2" s="83" t="s">
        <v>3</v>
      </c>
    </row>
    <row r="3" spans="1:8" ht="24" thickBot="1">
      <c r="A3" s="7" t="s">
        <v>5</v>
      </c>
      <c r="B3" s="122">
        <v>8142249000</v>
      </c>
      <c r="C3" s="123">
        <v>1405005000</v>
      </c>
      <c r="D3" s="79">
        <v>700242000</v>
      </c>
      <c r="E3" s="112">
        <f t="shared" ref="E3:E8" si="0">SUM(B3:D3)</f>
        <v>10247496000</v>
      </c>
      <c r="F3" s="59">
        <f t="shared" ref="F3:F8" si="1">B3/E3</f>
        <v>0.79455986125781364</v>
      </c>
      <c r="G3" s="59">
        <f t="shared" ref="G3:G8" si="2">C3/E3</f>
        <v>0.13710715281079397</v>
      </c>
      <c r="H3" s="59">
        <f t="shared" ref="H3:H8" si="3">D3/E3</f>
        <v>6.8332985931392407E-2</v>
      </c>
    </row>
    <row r="4" spans="1:8" ht="24" thickBot="1">
      <c r="A4" s="7" t="s">
        <v>6</v>
      </c>
      <c r="B4" s="32">
        <v>3251060000</v>
      </c>
      <c r="C4" s="33">
        <v>1096453000</v>
      </c>
      <c r="D4" s="79">
        <v>593063000</v>
      </c>
      <c r="E4" s="75">
        <f t="shared" si="0"/>
        <v>4940576000</v>
      </c>
      <c r="F4" s="59">
        <f t="shared" si="1"/>
        <v>0.65803258567422096</v>
      </c>
      <c r="G4" s="59">
        <f t="shared" si="2"/>
        <v>0.22192817193784692</v>
      </c>
      <c r="H4" s="59">
        <f t="shared" si="3"/>
        <v>0.12003924238793209</v>
      </c>
    </row>
    <row r="5" spans="1:8" ht="24" thickBot="1">
      <c r="A5" s="7" t="s">
        <v>7</v>
      </c>
      <c r="B5" s="8">
        <v>1549732000</v>
      </c>
      <c r="C5" s="124">
        <v>544350000</v>
      </c>
      <c r="D5" s="79">
        <v>390804000</v>
      </c>
      <c r="E5" s="75">
        <f t="shared" si="0"/>
        <v>2484886000</v>
      </c>
      <c r="F5" s="59">
        <f t="shared" si="1"/>
        <v>0.62366321835287408</v>
      </c>
      <c r="G5" s="59">
        <f t="shared" si="2"/>
        <v>0.21906437558906122</v>
      </c>
      <c r="H5" s="59">
        <f t="shared" si="3"/>
        <v>0.15727240605806464</v>
      </c>
    </row>
    <row r="6" spans="1:8" ht="24" thickBot="1">
      <c r="A6" s="7" t="s">
        <v>8</v>
      </c>
      <c r="B6" s="14">
        <f>B3-B5</f>
        <v>6592517000</v>
      </c>
      <c r="C6" s="125">
        <f>C3-C5</f>
        <v>860655000</v>
      </c>
      <c r="D6" s="79">
        <f>D3-D5</f>
        <v>309438000</v>
      </c>
      <c r="E6" s="75">
        <f t="shared" si="0"/>
        <v>7762610000</v>
      </c>
      <c r="F6" s="59">
        <f t="shared" si="1"/>
        <v>0.8492655176545002</v>
      </c>
      <c r="G6" s="59">
        <f t="shared" si="2"/>
        <v>0.11087185882068015</v>
      </c>
      <c r="H6" s="59">
        <f t="shared" si="3"/>
        <v>3.9862623524819618E-2</v>
      </c>
    </row>
    <row r="7" spans="1:8" ht="24" thickBot="1">
      <c r="A7" s="7" t="s">
        <v>9</v>
      </c>
      <c r="B7" s="14">
        <v>4537140000</v>
      </c>
      <c r="C7" s="15"/>
      <c r="D7" s="79">
        <f>D10+9146000</f>
        <v>-411174000</v>
      </c>
      <c r="E7" s="75">
        <f t="shared" si="0"/>
        <v>4125966000</v>
      </c>
      <c r="F7" s="59">
        <f t="shared" si="1"/>
        <v>1.0996552080167408</v>
      </c>
      <c r="G7" s="59">
        <f t="shared" si="2"/>
        <v>0</v>
      </c>
      <c r="H7" s="59">
        <f t="shared" si="3"/>
        <v>-9.9655208016740812E-2</v>
      </c>
    </row>
    <row r="8" spans="1:8" ht="24" thickBot="1">
      <c r="A8" s="7" t="s">
        <v>28</v>
      </c>
      <c r="B8" s="14">
        <v>2686128000</v>
      </c>
      <c r="C8" s="123">
        <v>-675856000</v>
      </c>
      <c r="D8" s="79">
        <v>-398825000</v>
      </c>
      <c r="E8" s="75">
        <f t="shared" si="0"/>
        <v>1611447000</v>
      </c>
      <c r="F8" s="59">
        <f t="shared" si="1"/>
        <v>1.6669043412535443</v>
      </c>
      <c r="G8" s="59">
        <f t="shared" si="2"/>
        <v>-0.41940938796001359</v>
      </c>
      <c r="H8" s="59">
        <f t="shared" si="3"/>
        <v>-0.24749495329353061</v>
      </c>
    </row>
    <row r="9" spans="1:8" ht="24" thickBot="1">
      <c r="A9" s="7" t="s">
        <v>11</v>
      </c>
      <c r="B9" s="18">
        <f>B8/B3</f>
        <v>0.32990000674260883</v>
      </c>
      <c r="C9" s="126">
        <f>C8/C3</f>
        <v>-0.48103458706552643</v>
      </c>
      <c r="D9" s="127">
        <f>D8/D3</f>
        <v>-0.5695530973577706</v>
      </c>
      <c r="E9" s="75"/>
      <c r="F9" s="58"/>
      <c r="G9" s="58"/>
      <c r="H9" s="58"/>
    </row>
    <row r="10" spans="1:8" ht="24" thickBot="1">
      <c r="A10" s="7" t="s">
        <v>12</v>
      </c>
      <c r="B10" s="14">
        <v>3582023000</v>
      </c>
      <c r="C10" s="33">
        <v>-675856000</v>
      </c>
      <c r="D10" s="128">
        <v>-420320000</v>
      </c>
      <c r="E10" s="75">
        <f t="shared" ref="E10:E21" si="4">SUM(B10:D10)</f>
        <v>2485847000</v>
      </c>
      <c r="F10" s="58">
        <f t="shared" ref="F10:F19" si="5">B10/E10</f>
        <v>1.4409668012552663</v>
      </c>
      <c r="G10" s="58">
        <f t="shared" ref="G10:G19" si="6">C10/E10</f>
        <v>-0.27188157597792623</v>
      </c>
      <c r="H10" s="58">
        <f t="shared" ref="H10:H19" si="7">D10/E10</f>
        <v>-0.16908522527734007</v>
      </c>
    </row>
    <row r="11" spans="1:8" ht="24" thickBot="1">
      <c r="A11" s="7" t="s">
        <v>13</v>
      </c>
      <c r="B11" s="14">
        <v>2534377000</v>
      </c>
      <c r="C11" s="33">
        <v>747139000</v>
      </c>
      <c r="D11" s="129">
        <v>134027000</v>
      </c>
      <c r="E11" s="75">
        <f t="shared" si="4"/>
        <v>3415543000</v>
      </c>
      <c r="F11" s="58">
        <f t="shared" si="5"/>
        <v>0.74201290980672763</v>
      </c>
      <c r="G11" s="58">
        <f t="shared" si="6"/>
        <v>0.21874677027927916</v>
      </c>
      <c r="H11" s="58">
        <f t="shared" si="7"/>
        <v>3.9240319913993175E-2</v>
      </c>
    </row>
    <row r="12" spans="1:8" ht="24" thickBot="1">
      <c r="A12" s="7" t="s">
        <v>14</v>
      </c>
      <c r="B12" s="14">
        <v>7126169000</v>
      </c>
      <c r="C12" s="33">
        <v>1744025000</v>
      </c>
      <c r="D12" s="129">
        <v>904551000</v>
      </c>
      <c r="E12" s="75">
        <f t="shared" si="4"/>
        <v>9774745000</v>
      </c>
      <c r="F12" s="58">
        <f t="shared" si="5"/>
        <v>0.72903886495248726</v>
      </c>
      <c r="G12" s="58">
        <f t="shared" si="6"/>
        <v>0.17842153427020346</v>
      </c>
      <c r="H12" s="58">
        <f t="shared" si="7"/>
        <v>9.2539600777309286E-2</v>
      </c>
    </row>
    <row r="13" spans="1:8" ht="24" thickBot="1">
      <c r="A13" s="7" t="s">
        <v>15</v>
      </c>
      <c r="B13" s="14">
        <v>9660546000</v>
      </c>
      <c r="C13" s="33">
        <f>C11+C12</f>
        <v>2491164000</v>
      </c>
      <c r="D13" s="79">
        <v>1038578000</v>
      </c>
      <c r="E13" s="75">
        <f t="shared" si="4"/>
        <v>13190288000</v>
      </c>
      <c r="F13" s="58">
        <f t="shared" si="5"/>
        <v>0.73239841313548271</v>
      </c>
      <c r="G13" s="58">
        <f t="shared" si="6"/>
        <v>0.18886350320781473</v>
      </c>
      <c r="H13" s="58">
        <f t="shared" si="7"/>
        <v>7.8738083656702568E-2</v>
      </c>
    </row>
    <row r="14" spans="1:8" ht="24" thickBot="1">
      <c r="A14" s="7" t="s">
        <v>16</v>
      </c>
      <c r="B14" s="14">
        <v>2448573000</v>
      </c>
      <c r="C14" s="33">
        <v>1258001000</v>
      </c>
      <c r="D14" s="130">
        <v>1279741000</v>
      </c>
      <c r="E14" s="75">
        <f t="shared" si="4"/>
        <v>4986315000</v>
      </c>
      <c r="F14" s="58">
        <f t="shared" si="5"/>
        <v>0.49105862746336726</v>
      </c>
      <c r="G14" s="58">
        <f t="shared" si="6"/>
        <v>0.25229071969981842</v>
      </c>
      <c r="H14" s="58">
        <f t="shared" si="7"/>
        <v>0.25665065283681437</v>
      </c>
    </row>
    <row r="15" spans="1:8" ht="24" thickBot="1">
      <c r="A15" s="7" t="s">
        <v>17</v>
      </c>
      <c r="B15" s="14">
        <v>2144527000</v>
      </c>
      <c r="C15" s="33">
        <v>3439591000</v>
      </c>
      <c r="D15" s="79">
        <v>1202055000</v>
      </c>
      <c r="E15" s="75">
        <f t="shared" si="4"/>
        <v>6786173000</v>
      </c>
      <c r="F15" s="58">
        <f t="shared" si="5"/>
        <v>0.3160141953351322</v>
      </c>
      <c r="G15" s="58">
        <f t="shared" si="6"/>
        <v>0.5068528314854337</v>
      </c>
      <c r="H15" s="58">
        <f t="shared" si="7"/>
        <v>0.17713297317943413</v>
      </c>
    </row>
    <row r="16" spans="1:8" ht="24" thickBot="1">
      <c r="A16" s="7" t="s">
        <v>18</v>
      </c>
      <c r="B16" s="14">
        <v>4593100000</v>
      </c>
      <c r="C16" s="33">
        <f>C14+C15</f>
        <v>4697592000</v>
      </c>
      <c r="D16" s="79">
        <v>2481796000</v>
      </c>
      <c r="E16" s="75">
        <f t="shared" si="4"/>
        <v>11772488000</v>
      </c>
      <c r="F16" s="58">
        <f t="shared" si="5"/>
        <v>0.39015541999278319</v>
      </c>
      <c r="G16" s="58">
        <f t="shared" si="6"/>
        <v>0.39903136873021233</v>
      </c>
      <c r="H16" s="58">
        <f t="shared" si="7"/>
        <v>0.21081321127700448</v>
      </c>
    </row>
    <row r="17" spans="1:8" ht="24" thickBot="1">
      <c r="A17" s="7" t="s">
        <v>29</v>
      </c>
      <c r="B17" s="14">
        <v>1176104000</v>
      </c>
      <c r="C17" s="33">
        <v>134972000</v>
      </c>
      <c r="D17" s="79">
        <v>-108425000</v>
      </c>
      <c r="E17" s="75">
        <f t="shared" si="4"/>
        <v>1202651000</v>
      </c>
      <c r="F17" s="58">
        <f t="shared" si="5"/>
        <v>0.97792626456054166</v>
      </c>
      <c r="G17" s="58">
        <f t="shared" si="6"/>
        <v>0.11222873468695407</v>
      </c>
      <c r="H17" s="58">
        <f t="shared" si="7"/>
        <v>-9.0154999247495746E-2</v>
      </c>
    </row>
    <row r="18" spans="1:8" ht="24" thickBot="1">
      <c r="A18" s="7" t="s">
        <v>20</v>
      </c>
      <c r="B18" s="14">
        <v>5067444000</v>
      </c>
      <c r="C18" s="33">
        <v>-2206428000</v>
      </c>
      <c r="D18" s="131">
        <v>-1443218000</v>
      </c>
      <c r="E18" s="75">
        <f t="shared" si="4"/>
        <v>1417798000</v>
      </c>
      <c r="F18" s="58">
        <f t="shared" si="5"/>
        <v>3.5741650079912652</v>
      </c>
      <c r="G18" s="58">
        <f t="shared" si="6"/>
        <v>-1.5562357966367564</v>
      </c>
      <c r="H18" s="58">
        <f t="shared" si="7"/>
        <v>-1.0179292113545089</v>
      </c>
    </row>
    <row r="19" spans="1:8" ht="24" thickBot="1">
      <c r="A19" s="7" t="s">
        <v>21</v>
      </c>
      <c r="B19" s="14">
        <v>387064000</v>
      </c>
      <c r="C19" s="33">
        <v>1643285000</v>
      </c>
      <c r="D19" s="79">
        <v>669993000</v>
      </c>
      <c r="E19" s="75">
        <f t="shared" si="4"/>
        <v>2700342000</v>
      </c>
      <c r="F19" s="58">
        <f t="shared" si="5"/>
        <v>0.14333888077880505</v>
      </c>
      <c r="G19" s="58">
        <f t="shared" si="6"/>
        <v>0.60854699145515645</v>
      </c>
      <c r="H19" s="58">
        <f t="shared" si="7"/>
        <v>0.24811412776603853</v>
      </c>
    </row>
    <row r="20" spans="1:8" ht="24" thickBot="1">
      <c r="A20" s="208" t="s">
        <v>30</v>
      </c>
      <c r="B20" s="27" t="e">
        <f>(#REF!+0)</f>
        <v>#REF!</v>
      </c>
      <c r="C20" s="33" t="e">
        <f>(#REF!+0)</f>
        <v>#REF!</v>
      </c>
      <c r="D20" s="79" t="e">
        <f>(#REF!+0)</f>
        <v>#REF!</v>
      </c>
      <c r="E20" s="206" t="e">
        <f t="shared" si="4"/>
        <v>#REF!</v>
      </c>
      <c r="F20" s="207" t="e">
        <f>SUM(B20/E20)</f>
        <v>#REF!</v>
      </c>
      <c r="G20" s="207" t="e">
        <f>SUM(D20/E20)</f>
        <v>#REF!</v>
      </c>
      <c r="H20" s="207" t="e">
        <f>SUM(C20/E20)</f>
        <v>#REF!</v>
      </c>
    </row>
    <row r="21" spans="1:8" ht="24" thickBot="1">
      <c r="A21" s="132" t="s">
        <v>23</v>
      </c>
      <c r="B21" s="32">
        <f>(B18+B19)-B17</f>
        <v>4278404000</v>
      </c>
      <c r="C21" s="32">
        <f t="shared" ref="C21:D21" si="8">(C18+C19)-C17</f>
        <v>-698115000</v>
      </c>
      <c r="D21" s="32">
        <f t="shared" si="8"/>
        <v>-664800000</v>
      </c>
      <c r="E21" s="57">
        <f t="shared" si="4"/>
        <v>2915489000</v>
      </c>
      <c r="F21" s="13">
        <f>SUM(B21/E21)</f>
        <v>1.4674738954597324</v>
      </c>
      <c r="G21" s="13">
        <f>SUM(D21/E21)</f>
        <v>-0.22802349794494164</v>
      </c>
      <c r="H21" s="13">
        <f>SUM(C21/E21)</f>
        <v>-0.23945039751479083</v>
      </c>
    </row>
    <row r="22" spans="1:8" ht="24" thickBot="1">
      <c r="A22" s="83" t="s">
        <v>35</v>
      </c>
      <c r="B22" s="36">
        <f>IFERROR(B21/#REF!,0)</f>
        <v>0</v>
      </c>
      <c r="C22" s="36">
        <f>IFERROR(C21/#REF!,0)</f>
        <v>0</v>
      </c>
      <c r="D22" s="36">
        <f>IFERROR(D21/#REF!,0)</f>
        <v>0</v>
      </c>
      <c r="E22" s="36">
        <f>IFERROR(E21/#REF!,0)</f>
        <v>0</v>
      </c>
      <c r="F22" s="37" t="e">
        <f>SUM(B22/E22)</f>
        <v>#DIV/0!</v>
      </c>
      <c r="G22" s="37" t="e">
        <f>SUM(D22/E22)</f>
        <v>#DIV/0!</v>
      </c>
      <c r="H22" s="37" t="e">
        <f>SUM(C22/E22)</f>
        <v>#DIV/0!</v>
      </c>
    </row>
    <row r="23" spans="1:8" ht="37.5">
      <c r="A23" s="119" t="s">
        <v>38</v>
      </c>
    </row>
    <row r="24" spans="1:8" ht="23.25">
      <c r="A24" s="38" t="s">
        <v>39</v>
      </c>
    </row>
  </sheetData>
  <mergeCells count="2">
    <mergeCell ref="A1:E1"/>
    <mergeCell ref="F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50" zoomScaleNormal="50" workbookViewId="0">
      <selection activeCell="B22" sqref="B22:D22"/>
    </sheetView>
  </sheetViews>
  <sheetFormatPr defaultRowHeight="15"/>
  <cols>
    <col min="1" max="1" width="55.7109375" bestFit="1" customWidth="1"/>
    <col min="2" max="2" width="29.42578125" bestFit="1" customWidth="1"/>
    <col min="3" max="4" width="28.85546875" bestFit="1" customWidth="1"/>
    <col min="5" max="5" width="29.42578125" bestFit="1" customWidth="1"/>
    <col min="6" max="6" width="12.28515625" bestFit="1" customWidth="1"/>
    <col min="7" max="7" width="12.85546875" bestFit="1" customWidth="1"/>
    <col min="8" max="8" width="32.5703125" customWidth="1"/>
  </cols>
  <sheetData>
    <row r="1" spans="1:8" ht="29.25" thickBot="1">
      <c r="A1" s="258" t="s">
        <v>40</v>
      </c>
      <c r="B1" s="259"/>
      <c r="C1" s="259"/>
      <c r="D1" s="259"/>
      <c r="E1" s="259"/>
      <c r="F1" s="258" t="s">
        <v>47</v>
      </c>
      <c r="G1" s="259"/>
      <c r="H1" s="260"/>
    </row>
    <row r="2" spans="1:8" ht="24" thickBot="1">
      <c r="A2" s="49" t="s">
        <v>1</v>
      </c>
      <c r="B2" s="50" t="s">
        <v>2</v>
      </c>
      <c r="C2" s="3" t="s">
        <v>43</v>
      </c>
      <c r="D2" s="51" t="s">
        <v>3</v>
      </c>
      <c r="E2" s="5" t="s">
        <v>4</v>
      </c>
      <c r="F2" s="13" t="s">
        <v>2</v>
      </c>
      <c r="G2" s="144" t="s">
        <v>43</v>
      </c>
      <c r="H2" s="13" t="s">
        <v>3</v>
      </c>
    </row>
    <row r="3" spans="1:8" ht="24" thickBot="1">
      <c r="A3" s="132" t="s">
        <v>5</v>
      </c>
      <c r="B3" s="54">
        <v>10725403000</v>
      </c>
      <c r="C3" s="55">
        <v>1583777000</v>
      </c>
      <c r="D3" s="133">
        <v>630174000</v>
      </c>
      <c r="E3" s="57">
        <f t="shared" ref="E3:E9" si="0">SUM(B3:D3)</f>
        <v>12939354000</v>
      </c>
      <c r="F3" s="58">
        <f t="shared" ref="F3:F9" si="1">SUM(B3/E3)</f>
        <v>0.82889787233582135</v>
      </c>
      <c r="G3" s="59">
        <f>C3/E3</f>
        <v>0.12240000544076621</v>
      </c>
      <c r="H3" s="60">
        <f>D3/E3</f>
        <v>4.8702122223412393E-2</v>
      </c>
    </row>
    <row r="4" spans="1:8" ht="24" thickBot="1">
      <c r="A4" s="53" t="s">
        <v>6</v>
      </c>
      <c r="B4" s="14">
        <v>3863063000</v>
      </c>
      <c r="C4" s="61">
        <v>1308195000</v>
      </c>
      <c r="D4" s="16">
        <v>520422000</v>
      </c>
      <c r="E4" s="57">
        <f t="shared" si="0"/>
        <v>5691680000</v>
      </c>
      <c r="F4" s="134">
        <f>B4/E4</f>
        <v>0.67872104545582324</v>
      </c>
      <c r="G4" s="59">
        <f t="shared" ref="G4:G23" si="2">C4/E4</f>
        <v>0.22984338543277205</v>
      </c>
      <c r="H4" s="60">
        <f t="shared" ref="H4:H23" si="3">D4/E4</f>
        <v>9.1435569111404713E-2</v>
      </c>
    </row>
    <row r="5" spans="1:8" ht="24" thickBot="1">
      <c r="A5" s="132" t="s">
        <v>7</v>
      </c>
      <c r="B5" s="14">
        <v>2280410000</v>
      </c>
      <c r="C5" s="61">
        <v>630219000</v>
      </c>
      <c r="D5" s="63"/>
      <c r="E5" s="57">
        <f t="shared" si="0"/>
        <v>2910629000</v>
      </c>
      <c r="F5" s="64">
        <f t="shared" si="1"/>
        <v>0.78347669867922021</v>
      </c>
      <c r="G5" s="59">
        <f t="shared" si="2"/>
        <v>0.21652330132077979</v>
      </c>
      <c r="H5" s="60">
        <f t="shared" si="3"/>
        <v>0</v>
      </c>
    </row>
    <row r="6" spans="1:8" ht="24" thickBot="1">
      <c r="A6" s="132" t="s">
        <v>8</v>
      </c>
      <c r="B6" s="14">
        <f>B3-B5</f>
        <v>8444993000</v>
      </c>
      <c r="C6" s="61">
        <v>953558000</v>
      </c>
      <c r="D6" s="65">
        <v>588800654.25999999</v>
      </c>
      <c r="E6" s="57">
        <f t="shared" si="0"/>
        <v>9987351654.2600002</v>
      </c>
      <c r="F6" s="66">
        <f t="shared" si="1"/>
        <v>0.84556880465882833</v>
      </c>
      <c r="G6" s="59">
        <f t="shared" si="2"/>
        <v>9.5476562056695968E-2</v>
      </c>
      <c r="H6" s="60">
        <f t="shared" si="3"/>
        <v>5.8954633284475692E-2</v>
      </c>
    </row>
    <row r="7" spans="1:8" ht="24" thickBot="1">
      <c r="A7" s="132" t="s">
        <v>9</v>
      </c>
      <c r="B7" s="14">
        <v>6235160000</v>
      </c>
      <c r="C7" s="61"/>
      <c r="D7" s="63">
        <v>68379000</v>
      </c>
      <c r="E7" s="57">
        <f t="shared" si="0"/>
        <v>6303539000</v>
      </c>
      <c r="F7" s="66">
        <f t="shared" si="1"/>
        <v>0.98915228413752976</v>
      </c>
      <c r="G7" s="59">
        <f t="shared" si="2"/>
        <v>0</v>
      </c>
      <c r="H7" s="60">
        <f t="shared" si="3"/>
        <v>1.0847715862470273E-2</v>
      </c>
    </row>
    <row r="8" spans="1:8" ht="24" thickBot="1">
      <c r="A8" s="132" t="s">
        <v>41</v>
      </c>
      <c r="B8" s="135">
        <v>0.58399999999999996</v>
      </c>
      <c r="C8" s="136">
        <v>0.33</v>
      </c>
      <c r="D8" s="137">
        <v>0.32</v>
      </c>
      <c r="E8" s="57"/>
      <c r="F8" s="66"/>
      <c r="G8" s="59" t="e">
        <f t="shared" si="2"/>
        <v>#DIV/0!</v>
      </c>
      <c r="H8" s="60" t="e">
        <f t="shared" si="3"/>
        <v>#DIV/0!</v>
      </c>
    </row>
    <row r="9" spans="1:8" ht="24" thickBot="1">
      <c r="A9" s="132" t="s">
        <v>28</v>
      </c>
      <c r="B9" s="14">
        <v>3698605000</v>
      </c>
      <c r="C9" s="61">
        <v>-1868483000</v>
      </c>
      <c r="D9" s="67">
        <v>-591960515.67999995</v>
      </c>
      <c r="E9" s="57">
        <f t="shared" si="0"/>
        <v>1238161484.3200002</v>
      </c>
      <c r="F9" s="66">
        <f t="shared" si="1"/>
        <v>2.987174974216936</v>
      </c>
      <c r="G9" s="59">
        <f t="shared" si="2"/>
        <v>-1.5090786005398749</v>
      </c>
      <c r="H9" s="60">
        <f t="shared" si="3"/>
        <v>-0.47809637367706154</v>
      </c>
    </row>
    <row r="10" spans="1:8" ht="24" thickBot="1">
      <c r="A10" s="132" t="s">
        <v>11</v>
      </c>
      <c r="B10" s="113">
        <f>B9/B3</f>
        <v>0.34484531723423351</v>
      </c>
      <c r="C10" s="138">
        <f>C9/C3</f>
        <v>-1.1797639440401015</v>
      </c>
      <c r="D10" s="139">
        <f>D9/D3</f>
        <v>-0.93936042375597839</v>
      </c>
      <c r="E10" s="70"/>
      <c r="F10" s="66"/>
      <c r="G10" s="59" t="e">
        <f t="shared" si="2"/>
        <v>#DIV/0!</v>
      </c>
      <c r="H10" s="60" t="e">
        <f t="shared" si="3"/>
        <v>#DIV/0!</v>
      </c>
    </row>
    <row r="11" spans="1:8" ht="24" thickBot="1">
      <c r="A11" s="132" t="s">
        <v>12</v>
      </c>
      <c r="B11" s="14">
        <v>4858438000</v>
      </c>
      <c r="C11" s="61"/>
      <c r="D11" s="79"/>
      <c r="E11" s="57">
        <f t="shared" ref="E11:E22" si="4">SUM(B11:D11)</f>
        <v>4858438000</v>
      </c>
      <c r="F11" s="66">
        <f t="shared" ref="F11:F23" si="5">SUM(B11/E11)</f>
        <v>1</v>
      </c>
      <c r="G11" s="59">
        <f t="shared" si="2"/>
        <v>0</v>
      </c>
      <c r="H11" s="60">
        <f t="shared" si="3"/>
        <v>0</v>
      </c>
    </row>
    <row r="12" spans="1:8" ht="24" thickBot="1">
      <c r="A12" s="132" t="s">
        <v>13</v>
      </c>
      <c r="B12" s="14">
        <v>3897709000</v>
      </c>
      <c r="C12" s="61">
        <v>575716000</v>
      </c>
      <c r="D12" s="79">
        <v>809542000</v>
      </c>
      <c r="E12" s="57">
        <f t="shared" si="4"/>
        <v>5282967000</v>
      </c>
      <c r="F12" s="66">
        <f t="shared" si="5"/>
        <v>0.73778787563882187</v>
      </c>
      <c r="G12" s="59">
        <f t="shared" si="2"/>
        <v>0.10897588419537733</v>
      </c>
      <c r="H12" s="60">
        <f t="shared" si="3"/>
        <v>0.15323624016580076</v>
      </c>
    </row>
    <row r="13" spans="1:8" ht="24" thickBot="1">
      <c r="A13" s="132" t="s">
        <v>14</v>
      </c>
      <c r="B13" s="14">
        <v>9193753000</v>
      </c>
      <c r="C13" s="61">
        <v>1672031000</v>
      </c>
      <c r="D13" s="79">
        <v>793647000</v>
      </c>
      <c r="E13" s="57">
        <f t="shared" si="4"/>
        <v>11659431000</v>
      </c>
      <c r="F13" s="66">
        <f t="shared" si="5"/>
        <v>0.78852501464265279</v>
      </c>
      <c r="G13" s="59">
        <f t="shared" si="2"/>
        <v>0.14340588318589476</v>
      </c>
      <c r="H13" s="60">
        <f t="shared" si="3"/>
        <v>6.8069102171452456E-2</v>
      </c>
    </row>
    <row r="14" spans="1:8" ht="24" thickBot="1">
      <c r="A14" s="132" t="s">
        <v>15</v>
      </c>
      <c r="B14" s="14">
        <f>B13+B12</f>
        <v>13091462000</v>
      </c>
      <c r="C14" s="61">
        <v>2247747000</v>
      </c>
      <c r="D14" s="79">
        <f>D12+D13</f>
        <v>1603189000</v>
      </c>
      <c r="E14" s="75">
        <f t="shared" si="4"/>
        <v>16942398000</v>
      </c>
      <c r="F14" s="66">
        <f t="shared" si="5"/>
        <v>0.77270419453019579</v>
      </c>
      <c r="G14" s="59">
        <f t="shared" si="2"/>
        <v>0.1326699443608868</v>
      </c>
      <c r="H14" s="60">
        <f t="shared" si="3"/>
        <v>9.4625861108917408E-2</v>
      </c>
    </row>
    <row r="15" spans="1:8" ht="24" thickBot="1">
      <c r="A15" s="132" t="s">
        <v>16</v>
      </c>
      <c r="B15" s="14">
        <v>2946287000</v>
      </c>
      <c r="C15" s="61">
        <v>3427803000</v>
      </c>
      <c r="D15" s="79">
        <v>2371237000</v>
      </c>
      <c r="E15" s="75">
        <f t="shared" si="4"/>
        <v>8745327000</v>
      </c>
      <c r="F15" s="66">
        <f t="shared" si="5"/>
        <v>0.33689843730257313</v>
      </c>
      <c r="G15" s="59">
        <f t="shared" si="2"/>
        <v>0.39195824238476162</v>
      </c>
      <c r="H15" s="60">
        <f t="shared" si="3"/>
        <v>0.27114332031266525</v>
      </c>
    </row>
    <row r="16" spans="1:8" ht="24" thickBot="1">
      <c r="A16" s="132" t="s">
        <v>17</v>
      </c>
      <c r="B16" s="14">
        <v>2452002000</v>
      </c>
      <c r="C16" s="61">
        <v>865210000</v>
      </c>
      <c r="D16" s="79">
        <v>1345356000</v>
      </c>
      <c r="E16" s="75">
        <f t="shared" si="4"/>
        <v>4662568000</v>
      </c>
      <c r="F16" s="66">
        <f t="shared" si="5"/>
        <v>0.52589088244932836</v>
      </c>
      <c r="G16" s="59">
        <f t="shared" si="2"/>
        <v>0.18556512205291162</v>
      </c>
      <c r="H16" s="60">
        <f t="shared" si="3"/>
        <v>0.28854399549776005</v>
      </c>
    </row>
    <row r="17" spans="1:8" ht="24" thickBot="1">
      <c r="A17" s="132" t="s">
        <v>18</v>
      </c>
      <c r="B17" s="14">
        <f>B15+B16</f>
        <v>5398289000</v>
      </c>
      <c r="C17" s="61">
        <v>4293013000</v>
      </c>
      <c r="D17" s="79">
        <f>D15+D16</f>
        <v>3716593000</v>
      </c>
      <c r="E17" s="76">
        <f t="shared" si="4"/>
        <v>13407895000</v>
      </c>
      <c r="F17" s="66">
        <f t="shared" si="5"/>
        <v>0.40262017266692496</v>
      </c>
      <c r="G17" s="59">
        <f t="shared" si="2"/>
        <v>0.32018545789626185</v>
      </c>
      <c r="H17" s="60">
        <f t="shared" si="3"/>
        <v>0.27719436943681314</v>
      </c>
    </row>
    <row r="18" spans="1:8" ht="24" thickBot="1">
      <c r="A18" s="132" t="s">
        <v>29</v>
      </c>
      <c r="B18" s="14">
        <v>2260258000</v>
      </c>
      <c r="C18" s="140">
        <v>-56261000</v>
      </c>
      <c r="D18" s="79">
        <v>24521111.100000001</v>
      </c>
      <c r="E18" s="76">
        <f t="shared" si="4"/>
        <v>2228518111.0999999</v>
      </c>
      <c r="F18" s="66">
        <f t="shared" si="5"/>
        <v>1.0142425985868848</v>
      </c>
      <c r="G18" s="59">
        <f t="shared" si="2"/>
        <v>-2.5245924509103266E-2</v>
      </c>
      <c r="H18" s="60">
        <f t="shared" si="3"/>
        <v>1.1003325922218485E-2</v>
      </c>
    </row>
    <row r="19" spans="1:8" ht="24" thickBot="1">
      <c r="A19" s="132" t="s">
        <v>20</v>
      </c>
      <c r="B19" s="141">
        <v>7693173000</v>
      </c>
      <c r="C19" s="33">
        <v>-2045266000</v>
      </c>
      <c r="D19" s="79">
        <v>-2113404000</v>
      </c>
      <c r="E19" s="76">
        <f t="shared" si="4"/>
        <v>3534503000</v>
      </c>
      <c r="F19" s="66">
        <f t="shared" si="5"/>
        <v>2.1765925789283527</v>
      </c>
      <c r="G19" s="59">
        <f t="shared" si="2"/>
        <v>-0.57865731051862168</v>
      </c>
      <c r="H19" s="60">
        <f t="shared" si="3"/>
        <v>-0.5979352684097311</v>
      </c>
    </row>
    <row r="20" spans="1:8" ht="24" thickBot="1">
      <c r="A20" s="132" t="s">
        <v>21</v>
      </c>
      <c r="B20" s="141">
        <v>231638000</v>
      </c>
      <c r="C20" s="33">
        <v>1635858000</v>
      </c>
      <c r="D20" s="65">
        <v>771662000</v>
      </c>
      <c r="E20" s="76">
        <f t="shared" si="4"/>
        <v>2639158000</v>
      </c>
      <c r="F20" s="66">
        <f t="shared" si="5"/>
        <v>8.7769659868791483E-2</v>
      </c>
      <c r="G20" s="59">
        <f t="shared" si="2"/>
        <v>0.61984087349071182</v>
      </c>
      <c r="H20" s="60">
        <f t="shared" si="3"/>
        <v>0.2923894666404967</v>
      </c>
    </row>
    <row r="21" spans="1:8" ht="24" thickBot="1">
      <c r="A21" s="78" t="s">
        <v>30</v>
      </c>
      <c r="B21" s="190" t="e">
        <f>(#REF!+0)</f>
        <v>#REF!</v>
      </c>
      <c r="C21" s="212" t="e">
        <f>(#REF!+0)</f>
        <v>#REF!</v>
      </c>
      <c r="D21" s="79" t="e">
        <f>(#REF!+0)</f>
        <v>#REF!</v>
      </c>
      <c r="E21" s="195" t="e">
        <f t="shared" si="4"/>
        <v>#REF!</v>
      </c>
      <c r="F21" s="209" t="e">
        <f t="shared" si="5"/>
        <v>#REF!</v>
      </c>
      <c r="G21" s="210" t="e">
        <f t="shared" si="2"/>
        <v>#REF!</v>
      </c>
      <c r="H21" s="211" t="e">
        <f t="shared" si="3"/>
        <v>#REF!</v>
      </c>
    </row>
    <row r="22" spans="1:8" ht="24" thickBot="1">
      <c r="A22" s="78" t="s">
        <v>23</v>
      </c>
      <c r="B22" s="32">
        <f>(B19+B20)-B18</f>
        <v>5664553000</v>
      </c>
      <c r="C22" s="32">
        <f t="shared" ref="C22:D22" si="6">(C19+C20)-C18</f>
        <v>-353147000</v>
      </c>
      <c r="D22" s="32">
        <f t="shared" si="6"/>
        <v>-1366263111.0999999</v>
      </c>
      <c r="E22" s="80">
        <f t="shared" si="4"/>
        <v>3945142888.9000001</v>
      </c>
      <c r="F22" s="142">
        <f t="shared" si="5"/>
        <v>1.4358296161940569</v>
      </c>
      <c r="G22" s="59">
        <f t="shared" si="2"/>
        <v>-8.9514375003655652E-2</v>
      </c>
      <c r="H22" s="60">
        <f t="shared" si="3"/>
        <v>-0.34631524119040125</v>
      </c>
    </row>
    <row r="23" spans="1:8" ht="24" thickBot="1">
      <c r="A23" s="35" t="s">
        <v>24</v>
      </c>
      <c r="B23" s="36">
        <f>IFERROR(B22/#REF!,0)</f>
        <v>0</v>
      </c>
      <c r="C23" s="36">
        <f>IFERROR(C22/#REF!,0)</f>
        <v>0</v>
      </c>
      <c r="D23" s="36">
        <f>IFERROR(D22/#REF!,0)</f>
        <v>0</v>
      </c>
      <c r="E23" s="36">
        <f>IFERROR(E22/#REF!,0)</f>
        <v>0</v>
      </c>
      <c r="F23" s="37" t="e">
        <f t="shared" si="5"/>
        <v>#DIV/0!</v>
      </c>
      <c r="G23" s="59" t="e">
        <f t="shared" si="2"/>
        <v>#DIV/0!</v>
      </c>
      <c r="H23" s="60" t="e">
        <f t="shared" si="3"/>
        <v>#DIV/0!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50" zoomScaleNormal="50" workbookViewId="0">
      <selection activeCell="B22" sqref="B22:D22"/>
    </sheetView>
  </sheetViews>
  <sheetFormatPr defaultRowHeight="15"/>
  <cols>
    <col min="1" max="1" width="55.7109375" bestFit="1" customWidth="1"/>
    <col min="2" max="2" width="29.42578125" bestFit="1" customWidth="1"/>
    <col min="3" max="3" width="28.85546875" bestFit="1" customWidth="1"/>
    <col min="4" max="4" width="9.7109375" bestFit="1" customWidth="1"/>
    <col min="5" max="5" width="29.42578125" bestFit="1" customWidth="1"/>
    <col min="6" max="6" width="12.28515625" bestFit="1" customWidth="1"/>
    <col min="7" max="7" width="12.85546875" bestFit="1" customWidth="1"/>
    <col min="8" max="8" width="12.28515625" bestFit="1" customWidth="1"/>
  </cols>
  <sheetData>
    <row r="1" spans="1:8" ht="29.25" thickBot="1">
      <c r="A1" s="258" t="s">
        <v>42</v>
      </c>
      <c r="B1" s="259"/>
      <c r="C1" s="259"/>
      <c r="D1" s="259"/>
      <c r="E1" s="259"/>
      <c r="F1" s="258" t="s">
        <v>47</v>
      </c>
      <c r="G1" s="259"/>
      <c r="H1" s="260"/>
    </row>
    <row r="2" spans="1:8" ht="24" thickBot="1">
      <c r="A2" s="49" t="s">
        <v>1</v>
      </c>
      <c r="B2" s="50" t="s">
        <v>2</v>
      </c>
      <c r="C2" s="3" t="s">
        <v>43</v>
      </c>
      <c r="D2" s="51" t="s">
        <v>3</v>
      </c>
      <c r="E2" s="5" t="s">
        <v>4</v>
      </c>
      <c r="F2" s="13" t="s">
        <v>2</v>
      </c>
      <c r="G2" s="144" t="s">
        <v>43</v>
      </c>
      <c r="H2" s="13" t="s">
        <v>3</v>
      </c>
    </row>
    <row r="3" spans="1:8" ht="24" thickBot="1">
      <c r="A3" s="132" t="s">
        <v>5</v>
      </c>
      <c r="B3" s="54">
        <v>13758565000</v>
      </c>
      <c r="C3" s="55">
        <v>1826841000</v>
      </c>
      <c r="D3" s="133"/>
      <c r="E3" s="57">
        <f>SUM(B3:D3)</f>
        <v>15585406000</v>
      </c>
      <c r="F3" s="58">
        <f>SUM(B3/E3)</f>
        <v>0.88278515169896765</v>
      </c>
      <c r="G3" s="59">
        <f>C3/E3</f>
        <v>0.11721484830103239</v>
      </c>
      <c r="H3" s="60">
        <f>SUM(C3/E3)</f>
        <v>0.11721484830103239</v>
      </c>
    </row>
    <row r="4" spans="1:8" ht="24" thickBot="1">
      <c r="A4" s="53" t="s">
        <v>6</v>
      </c>
      <c r="B4" s="14">
        <v>7497554000</v>
      </c>
      <c r="C4" s="61"/>
      <c r="D4" s="16"/>
      <c r="E4" s="57">
        <f>SUM(B4:D4)</f>
        <v>7497554000</v>
      </c>
      <c r="F4" s="134">
        <f>SUM(B4/E4)</f>
        <v>1</v>
      </c>
      <c r="G4" s="59">
        <f>C4/E4</f>
        <v>0</v>
      </c>
      <c r="H4" s="71">
        <f>SUM(C4/E4)</f>
        <v>0</v>
      </c>
    </row>
    <row r="5" spans="1:8" ht="24" thickBot="1">
      <c r="A5" s="132" t="s">
        <v>7</v>
      </c>
      <c r="B5" s="14">
        <v>2847885000</v>
      </c>
      <c r="C5" s="61"/>
      <c r="D5" s="63"/>
      <c r="E5" s="57">
        <f>SUM(B5:D5)</f>
        <v>2847885000</v>
      </c>
      <c r="F5" s="64">
        <f>SUM(B5/E5)</f>
        <v>1</v>
      </c>
      <c r="G5" s="59">
        <f>C5/E5</f>
        <v>0</v>
      </c>
      <c r="H5" s="71">
        <f>SUM(C5/E5)</f>
        <v>0</v>
      </c>
    </row>
    <row r="6" spans="1:8" ht="24" thickBot="1">
      <c r="A6" s="132" t="s">
        <v>8</v>
      </c>
      <c r="B6" s="14">
        <f>B3-B5</f>
        <v>10910680000</v>
      </c>
      <c r="C6" s="61">
        <v>1023084000</v>
      </c>
      <c r="D6" s="65"/>
      <c r="E6" s="57">
        <f>SUM(B6:D6)</f>
        <v>11933764000</v>
      </c>
      <c r="F6" s="66">
        <f>SUM(B6/E6)</f>
        <v>0.91426979786092633</v>
      </c>
      <c r="G6" s="59">
        <f>C6/E6</f>
        <v>8.5730202139073647E-2</v>
      </c>
      <c r="H6" s="71">
        <f>SUM(C6/E6)</f>
        <v>8.5730202139073647E-2</v>
      </c>
    </row>
    <row r="7" spans="1:8" ht="24" thickBot="1">
      <c r="A7" s="132" t="s">
        <v>9</v>
      </c>
      <c r="B7" s="14">
        <v>7627218000</v>
      </c>
      <c r="C7" s="61"/>
      <c r="D7" s="63"/>
      <c r="E7" s="57">
        <f>SUM(B7:D7)</f>
        <v>7627218000</v>
      </c>
      <c r="F7" s="66">
        <f>SUM(B7/E7)</f>
        <v>1</v>
      </c>
      <c r="G7" s="59">
        <f>C7/E7</f>
        <v>0</v>
      </c>
      <c r="H7" s="71">
        <f>SUM(C7/E7)</f>
        <v>0</v>
      </c>
    </row>
    <row r="8" spans="1:8" ht="24" thickBot="1">
      <c r="A8" s="132" t="s">
        <v>41</v>
      </c>
      <c r="B8" s="135">
        <f>B7/B3</f>
        <v>0.55436144685147037</v>
      </c>
      <c r="C8" s="136"/>
      <c r="D8" s="137"/>
      <c r="E8" s="57"/>
      <c r="F8" s="66"/>
      <c r="G8" s="59"/>
      <c r="H8" s="71"/>
    </row>
    <row r="9" spans="1:8" ht="24" thickBot="1">
      <c r="A9" s="132" t="s">
        <v>28</v>
      </c>
      <c r="B9" s="14">
        <v>4332154000</v>
      </c>
      <c r="C9" s="61">
        <v>-841052000</v>
      </c>
      <c r="D9" s="67"/>
      <c r="E9" s="57">
        <f>SUM(B9:D9)</f>
        <v>3491102000</v>
      </c>
      <c r="F9" s="66">
        <f>SUM(B9/E9)</f>
        <v>1.2409130412116289</v>
      </c>
      <c r="G9" s="59">
        <f>C9/E9</f>
        <v>-0.24091304121162888</v>
      </c>
      <c r="H9" s="71">
        <f>SUM(C9/E9)</f>
        <v>-0.24091304121162888</v>
      </c>
    </row>
    <row r="10" spans="1:8" ht="24" thickBot="1">
      <c r="A10" s="132" t="s">
        <v>11</v>
      </c>
      <c r="B10" s="113">
        <f>B9/B3</f>
        <v>0.31486961031183119</v>
      </c>
      <c r="C10" s="126">
        <f>C9/C3</f>
        <v>-0.46038598870947173</v>
      </c>
      <c r="D10" s="139"/>
      <c r="E10" s="70"/>
      <c r="F10" s="66"/>
      <c r="G10" s="66"/>
      <c r="H10" s="71"/>
    </row>
    <row r="11" spans="1:8" ht="24" thickBot="1">
      <c r="A11" s="132" t="s">
        <v>12</v>
      </c>
      <c r="B11" s="14">
        <v>6124388000</v>
      </c>
      <c r="C11" s="61">
        <v>-841052000</v>
      </c>
      <c r="D11" s="79"/>
      <c r="E11" s="57">
        <f t="shared" ref="E11:E22" si="0">SUM(B11:D11)</f>
        <v>5283336000</v>
      </c>
      <c r="F11" s="66">
        <f t="shared" ref="F11:F23" si="1">SUM(B11/E11)</f>
        <v>1.1591895726487962</v>
      </c>
      <c r="G11" s="66">
        <f t="shared" ref="G11:G19" si="2">C11/E11</f>
        <v>-0.15918957264879613</v>
      </c>
      <c r="H11" s="71">
        <f t="shared" ref="H11:H20" si="3">D11/E11</f>
        <v>0</v>
      </c>
    </row>
    <row r="12" spans="1:8" ht="24" thickBot="1">
      <c r="A12" s="132" t="s">
        <v>13</v>
      </c>
      <c r="B12" s="14">
        <v>4076054000</v>
      </c>
      <c r="C12" s="61">
        <v>897127000</v>
      </c>
      <c r="D12" s="79"/>
      <c r="E12" s="57">
        <f t="shared" si="0"/>
        <v>4973181000</v>
      </c>
      <c r="F12" s="66">
        <f t="shared" si="1"/>
        <v>0.81960700806988529</v>
      </c>
      <c r="G12" s="66">
        <f t="shared" si="2"/>
        <v>0.18039299193011474</v>
      </c>
      <c r="H12" s="71">
        <f t="shared" si="3"/>
        <v>0</v>
      </c>
    </row>
    <row r="13" spans="1:8" ht="24" thickBot="1">
      <c r="A13" s="132" t="s">
        <v>14</v>
      </c>
      <c r="B13" s="14">
        <v>11324583000</v>
      </c>
      <c r="C13" s="61">
        <v>2022097000</v>
      </c>
      <c r="D13" s="79"/>
      <c r="E13" s="57">
        <f t="shared" si="0"/>
        <v>13346680000</v>
      </c>
      <c r="F13" s="66">
        <f t="shared" si="1"/>
        <v>0.84849438212349437</v>
      </c>
      <c r="G13" s="66">
        <f t="shared" si="2"/>
        <v>0.15150561787650563</v>
      </c>
      <c r="H13" s="71">
        <f t="shared" si="3"/>
        <v>0</v>
      </c>
    </row>
    <row r="14" spans="1:8" ht="24" thickBot="1">
      <c r="A14" s="132" t="s">
        <v>15</v>
      </c>
      <c r="B14" s="14">
        <f>B13+B12</f>
        <v>15400637000</v>
      </c>
      <c r="C14" s="61">
        <v>2919224000</v>
      </c>
      <c r="D14" s="79"/>
      <c r="E14" s="75">
        <f t="shared" si="0"/>
        <v>18319861000</v>
      </c>
      <c r="F14" s="66">
        <f t="shared" si="1"/>
        <v>0.84065250276735182</v>
      </c>
      <c r="G14" s="66">
        <f t="shared" si="2"/>
        <v>0.15934749723264821</v>
      </c>
      <c r="H14" s="71">
        <f t="shared" si="3"/>
        <v>0</v>
      </c>
    </row>
    <row r="15" spans="1:8" ht="24" thickBot="1">
      <c r="A15" s="132" t="s">
        <v>16</v>
      </c>
      <c r="B15" s="14">
        <v>4296891000</v>
      </c>
      <c r="C15" s="61">
        <v>4255917000</v>
      </c>
      <c r="D15" s="79"/>
      <c r="E15" s="75">
        <f t="shared" si="0"/>
        <v>8552808000</v>
      </c>
      <c r="F15" s="66">
        <f t="shared" si="1"/>
        <v>0.50239535366630472</v>
      </c>
      <c r="G15" s="66">
        <f t="shared" si="2"/>
        <v>0.49760464633369533</v>
      </c>
      <c r="H15" s="71">
        <f t="shared" si="3"/>
        <v>0</v>
      </c>
    </row>
    <row r="16" spans="1:8" ht="24" thickBot="1">
      <c r="A16" s="132" t="s">
        <v>17</v>
      </c>
      <c r="B16" s="14">
        <v>2255061000</v>
      </c>
      <c r="C16" s="61">
        <v>1549624000</v>
      </c>
      <c r="D16" s="79"/>
      <c r="E16" s="75">
        <f t="shared" si="0"/>
        <v>3804685000</v>
      </c>
      <c r="F16" s="66">
        <f t="shared" si="1"/>
        <v>0.59270636071054505</v>
      </c>
      <c r="G16" s="66">
        <f t="shared" si="2"/>
        <v>0.407293639289455</v>
      </c>
      <c r="H16" s="71">
        <f t="shared" si="3"/>
        <v>0</v>
      </c>
    </row>
    <row r="17" spans="1:8" ht="24" thickBot="1">
      <c r="A17" s="132" t="s">
        <v>18</v>
      </c>
      <c r="B17" s="14">
        <f>B15+B16</f>
        <v>6551952000</v>
      </c>
      <c r="C17" s="61">
        <v>5805541000</v>
      </c>
      <c r="D17" s="79"/>
      <c r="E17" s="76">
        <f t="shared" si="0"/>
        <v>12357493000</v>
      </c>
      <c r="F17" s="66">
        <f t="shared" si="1"/>
        <v>0.53020074541009243</v>
      </c>
      <c r="G17" s="66">
        <f t="shared" si="2"/>
        <v>0.46979925458990751</v>
      </c>
      <c r="H17" s="71">
        <f t="shared" si="3"/>
        <v>0</v>
      </c>
    </row>
    <row r="18" spans="1:8" ht="24" thickBot="1">
      <c r="A18" s="132" t="s">
        <v>29</v>
      </c>
      <c r="B18" s="14">
        <v>2178224000</v>
      </c>
      <c r="C18" s="140"/>
      <c r="D18" s="79"/>
      <c r="E18" s="76">
        <f t="shared" si="0"/>
        <v>2178224000</v>
      </c>
      <c r="F18" s="66">
        <f t="shared" si="1"/>
        <v>1</v>
      </c>
      <c r="G18" s="66">
        <f t="shared" si="2"/>
        <v>0</v>
      </c>
      <c r="H18" s="71">
        <f t="shared" si="3"/>
        <v>0</v>
      </c>
    </row>
    <row r="19" spans="1:8" ht="24" thickBot="1">
      <c r="A19" s="132" t="s">
        <v>20</v>
      </c>
      <c r="B19" s="141">
        <v>8848685000</v>
      </c>
      <c r="C19" s="33">
        <v>-2886317000</v>
      </c>
      <c r="D19" s="79"/>
      <c r="E19" s="76">
        <f t="shared" si="0"/>
        <v>5962368000</v>
      </c>
      <c r="F19" s="66">
        <f t="shared" si="1"/>
        <v>1.4840890397909019</v>
      </c>
      <c r="G19" s="66">
        <f t="shared" si="2"/>
        <v>-0.48408903979090184</v>
      </c>
      <c r="H19" s="71">
        <f t="shared" si="3"/>
        <v>0</v>
      </c>
    </row>
    <row r="20" spans="1:8" ht="24" thickBot="1">
      <c r="A20" s="132" t="s">
        <v>21</v>
      </c>
      <c r="B20" s="141">
        <v>70443000</v>
      </c>
      <c r="C20" s="33">
        <v>1905395000</v>
      </c>
      <c r="D20" s="65"/>
      <c r="E20" s="76">
        <f t="shared" si="0"/>
        <v>1975838000</v>
      </c>
      <c r="F20" s="66">
        <f t="shared" si="1"/>
        <v>3.5652214402192892E-2</v>
      </c>
      <c r="G20" s="66">
        <f>C20/E20</f>
        <v>0.96434778559780709</v>
      </c>
      <c r="H20" s="71">
        <f t="shared" si="3"/>
        <v>0</v>
      </c>
    </row>
    <row r="21" spans="1:8" ht="24" thickBot="1">
      <c r="A21" s="78" t="s">
        <v>30</v>
      </c>
      <c r="B21" s="190">
        <v>2875548000</v>
      </c>
      <c r="C21" s="212"/>
      <c r="D21" s="79"/>
      <c r="E21" s="195">
        <f t="shared" si="0"/>
        <v>2875548000</v>
      </c>
      <c r="F21" s="209">
        <f t="shared" si="1"/>
        <v>1</v>
      </c>
      <c r="G21" s="209">
        <f>SUM(D21/E21)</f>
        <v>0</v>
      </c>
      <c r="H21" s="213">
        <f>SUM(C21/E21)</f>
        <v>0</v>
      </c>
    </row>
    <row r="22" spans="1:8" ht="24" thickBot="1">
      <c r="A22" s="78" t="s">
        <v>23</v>
      </c>
      <c r="B22" s="32">
        <f>(B19+B20)-B18</f>
        <v>6740904000</v>
      </c>
      <c r="C22" s="32">
        <f t="shared" ref="C22:D22" si="4">(C19+C20)-C18</f>
        <v>-980922000</v>
      </c>
      <c r="D22" s="32">
        <f t="shared" si="4"/>
        <v>0</v>
      </c>
      <c r="E22" s="80">
        <f t="shared" si="0"/>
        <v>5759982000</v>
      </c>
      <c r="F22" s="142">
        <f t="shared" si="1"/>
        <v>1.1702994905192412</v>
      </c>
      <c r="G22" s="142">
        <f>SUM(D22/E22)</f>
        <v>0</v>
      </c>
      <c r="H22" s="143">
        <f>SUM(C22/E22)</f>
        <v>-0.1702994905192412</v>
      </c>
    </row>
    <row r="23" spans="1:8" ht="24" thickBot="1">
      <c r="A23" s="35" t="s">
        <v>24</v>
      </c>
      <c r="B23" s="36">
        <f>IFERROR(B22/#REF!,0)</f>
        <v>0</v>
      </c>
      <c r="C23" s="36">
        <f>IFERROR(C22/#REF!,0)</f>
        <v>0</v>
      </c>
      <c r="D23" s="36">
        <f>IFERROR(D22/#REF!,0)</f>
        <v>0</v>
      </c>
      <c r="E23" s="36">
        <f>IFERROR(E22/#REF!,0)</f>
        <v>0</v>
      </c>
      <c r="F23" s="37" t="e">
        <f t="shared" si="1"/>
        <v>#DIV/0!</v>
      </c>
      <c r="G23" s="37" t="e">
        <f>SUM(D23/E23)</f>
        <v>#DIV/0!</v>
      </c>
      <c r="H23" s="37" t="e">
        <f>SUM(C23/E23)</f>
        <v>#DIV/0!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50" zoomScaleNormal="50" workbookViewId="0">
      <selection activeCell="B33" sqref="B33"/>
    </sheetView>
  </sheetViews>
  <sheetFormatPr defaultRowHeight="15"/>
  <cols>
    <col min="1" max="1" width="55.7109375" bestFit="1" customWidth="1"/>
    <col min="2" max="2" width="29.42578125" bestFit="1" customWidth="1"/>
    <col min="3" max="3" width="12.85546875" bestFit="1" customWidth="1"/>
    <col min="4" max="4" width="9.7109375" bestFit="1" customWidth="1"/>
    <col min="5" max="5" width="29.42578125" bestFit="1" customWidth="1"/>
    <col min="6" max="6" width="18.5703125" customWidth="1"/>
    <col min="7" max="7" width="12.85546875" bestFit="1" customWidth="1"/>
    <col min="8" max="8" width="12.28515625" bestFit="1" customWidth="1"/>
  </cols>
  <sheetData>
    <row r="1" spans="1:8" ht="29.25" thickBot="1">
      <c r="A1" s="258" t="s">
        <v>44</v>
      </c>
      <c r="B1" s="259"/>
      <c r="C1" s="259"/>
      <c r="D1" s="259"/>
      <c r="E1" s="259"/>
      <c r="F1" s="258" t="s">
        <v>47</v>
      </c>
      <c r="G1" s="259"/>
      <c r="H1" s="260"/>
    </row>
    <row r="2" spans="1:8" ht="24" thickBot="1">
      <c r="A2" s="49" t="s">
        <v>1</v>
      </c>
      <c r="B2" s="50" t="s">
        <v>2</v>
      </c>
      <c r="C2" s="3" t="s">
        <v>43</v>
      </c>
      <c r="D2" s="51" t="s">
        <v>3</v>
      </c>
      <c r="E2" s="5" t="s">
        <v>4</v>
      </c>
      <c r="F2" s="13" t="s">
        <v>2</v>
      </c>
      <c r="G2" s="144" t="s">
        <v>43</v>
      </c>
      <c r="H2" s="13" t="s">
        <v>3</v>
      </c>
    </row>
    <row r="3" spans="1:8" ht="24" thickBot="1">
      <c r="A3" s="132" t="s">
        <v>5</v>
      </c>
      <c r="B3" s="214">
        <v>18562182000</v>
      </c>
      <c r="C3" s="55"/>
      <c r="D3" s="133"/>
      <c r="E3" s="57">
        <f>SUM(B3:D3)</f>
        <v>18562182000</v>
      </c>
      <c r="F3" s="58">
        <f>SUM(B3/E3)</f>
        <v>1</v>
      </c>
      <c r="G3" s="59">
        <f>C3/E3</f>
        <v>0</v>
      </c>
      <c r="H3" s="60">
        <f>SUM(C3/E3)</f>
        <v>0</v>
      </c>
    </row>
    <row r="4" spans="1:8" ht="24" thickBot="1">
      <c r="A4" s="53" t="s">
        <v>6</v>
      </c>
      <c r="B4" s="215">
        <v>4865790000</v>
      </c>
      <c r="C4" s="61"/>
      <c r="D4" s="16"/>
      <c r="E4" s="57">
        <f>SUM(B4:D4)</f>
        <v>4865790000</v>
      </c>
      <c r="F4" s="134">
        <f>SUM(B4/E4)</f>
        <v>1</v>
      </c>
      <c r="G4" s="59">
        <f>C4/E4</f>
        <v>0</v>
      </c>
      <c r="H4" s="71">
        <f>SUM(C4/E4)</f>
        <v>0</v>
      </c>
    </row>
    <row r="5" spans="1:8" ht="24" thickBot="1">
      <c r="A5" s="132" t="s">
        <v>7</v>
      </c>
      <c r="B5" s="215">
        <v>2940255000</v>
      </c>
      <c r="C5" s="61"/>
      <c r="D5" s="63"/>
      <c r="E5" s="57">
        <f>SUM(B5:D5)</f>
        <v>2940255000</v>
      </c>
      <c r="F5" s="64">
        <f>SUM(B5/E5)</f>
        <v>1</v>
      </c>
      <c r="G5" s="59">
        <f>C5/E5</f>
        <v>0</v>
      </c>
      <c r="H5" s="71">
        <f>SUM(C5/E5)</f>
        <v>0</v>
      </c>
    </row>
    <row r="6" spans="1:8" ht="24" thickBot="1">
      <c r="A6" s="132" t="s">
        <v>8</v>
      </c>
      <c r="B6" s="220">
        <f>B3-B5</f>
        <v>15621927000</v>
      </c>
      <c r="C6" s="61"/>
      <c r="D6" s="65"/>
      <c r="E6" s="57">
        <f>SUM(B6:D6)</f>
        <v>15621927000</v>
      </c>
      <c r="F6" s="66">
        <f>SUM(B6/E6)</f>
        <v>1</v>
      </c>
      <c r="G6" s="59">
        <f>C6/E6</f>
        <v>0</v>
      </c>
      <c r="H6" s="71">
        <f>SUM(C6/E6)</f>
        <v>0</v>
      </c>
    </row>
    <row r="7" spans="1:8" ht="24" thickBot="1">
      <c r="A7" s="132" t="s">
        <v>9</v>
      </c>
      <c r="B7" s="215">
        <v>10869609000</v>
      </c>
      <c r="C7" s="61"/>
      <c r="D7" s="63"/>
      <c r="E7" s="57">
        <f>SUM(B7:D7)</f>
        <v>10869609000</v>
      </c>
      <c r="F7" s="66">
        <f>SUM(B7/E7)</f>
        <v>1</v>
      </c>
      <c r="G7" s="59">
        <f>C7/E7</f>
        <v>0</v>
      </c>
      <c r="H7" s="71">
        <f>SUM(C7/E7)</f>
        <v>0</v>
      </c>
    </row>
    <row r="8" spans="1:8" ht="24" thickBot="1">
      <c r="A8" s="132" t="s">
        <v>41</v>
      </c>
      <c r="B8" s="216">
        <f>B7/B3</f>
        <v>0.58557819333955463</v>
      </c>
      <c r="C8" s="136"/>
      <c r="D8" s="137"/>
      <c r="E8" s="57"/>
      <c r="F8" s="66"/>
      <c r="G8" s="59"/>
      <c r="H8" s="71"/>
    </row>
    <row r="9" spans="1:8" ht="24" thickBot="1">
      <c r="A9" s="132" t="s">
        <v>28</v>
      </c>
      <c r="B9" s="215">
        <v>6869404000</v>
      </c>
      <c r="C9" s="61"/>
      <c r="D9" s="67"/>
      <c r="E9" s="57">
        <f>SUM(B9:D9)</f>
        <v>6869404000</v>
      </c>
      <c r="F9" s="66">
        <f>SUM(B9/E9)</f>
        <v>1</v>
      </c>
      <c r="G9" s="59">
        <f>C9/E9</f>
        <v>0</v>
      </c>
      <c r="H9" s="71">
        <f>SUM(C9/E9)</f>
        <v>0</v>
      </c>
    </row>
    <row r="10" spans="1:8" ht="24" thickBot="1">
      <c r="A10" s="132" t="s">
        <v>11</v>
      </c>
      <c r="B10" s="217">
        <v>15618014000</v>
      </c>
      <c r="C10" s="126"/>
      <c r="D10" s="139"/>
      <c r="E10" s="70"/>
      <c r="F10" s="66"/>
      <c r="G10" s="66"/>
      <c r="H10" s="71"/>
    </row>
    <row r="11" spans="1:8" ht="24" thickBot="1">
      <c r="A11" s="132" t="s">
        <v>12</v>
      </c>
      <c r="B11" s="215">
        <v>9182478000</v>
      </c>
      <c r="C11" s="61"/>
      <c r="D11" s="79"/>
      <c r="E11" s="57">
        <f t="shared" ref="E11:E22" si="0">SUM(B11:D11)</f>
        <v>9182478000</v>
      </c>
      <c r="F11" s="66">
        <f t="shared" ref="F11:F23" si="1">SUM(B11/E11)</f>
        <v>1</v>
      </c>
      <c r="G11" s="66">
        <f t="shared" ref="G11:G19" si="2">C11/E11</f>
        <v>0</v>
      </c>
      <c r="H11" s="71">
        <f t="shared" ref="H11:H20" si="3">D11/E11</f>
        <v>0</v>
      </c>
    </row>
    <row r="12" spans="1:8" ht="24" thickBot="1">
      <c r="A12" s="132" t="s">
        <v>13</v>
      </c>
      <c r="B12" s="215">
        <v>4582258000</v>
      </c>
      <c r="C12" s="61"/>
      <c r="D12" s="79"/>
      <c r="E12" s="57">
        <f t="shared" si="0"/>
        <v>4582258000</v>
      </c>
      <c r="F12" s="66">
        <f t="shared" si="1"/>
        <v>1</v>
      </c>
      <c r="G12" s="66">
        <f t="shared" si="2"/>
        <v>0</v>
      </c>
      <c r="H12" s="71">
        <f t="shared" si="3"/>
        <v>0</v>
      </c>
    </row>
    <row r="13" spans="1:8" ht="24" thickBot="1">
      <c r="A13" s="132" t="s">
        <v>14</v>
      </c>
      <c r="B13" s="215">
        <v>16035955000</v>
      </c>
      <c r="C13" s="61"/>
      <c r="D13" s="79"/>
      <c r="E13" s="57">
        <f t="shared" si="0"/>
        <v>16035955000</v>
      </c>
      <c r="F13" s="66">
        <f t="shared" si="1"/>
        <v>1</v>
      </c>
      <c r="G13" s="66">
        <f t="shared" si="2"/>
        <v>0</v>
      </c>
      <c r="H13" s="71">
        <f t="shared" si="3"/>
        <v>0</v>
      </c>
    </row>
    <row r="14" spans="1:8" ht="24" thickBot="1">
      <c r="A14" s="132" t="s">
        <v>15</v>
      </c>
      <c r="B14" s="215">
        <f>B12+B13</f>
        <v>20618213000</v>
      </c>
      <c r="C14" s="61"/>
      <c r="D14" s="79"/>
      <c r="E14" s="75">
        <f t="shared" si="0"/>
        <v>20618213000</v>
      </c>
      <c r="F14" s="66">
        <f t="shared" si="1"/>
        <v>1</v>
      </c>
      <c r="G14" s="66">
        <f t="shared" si="2"/>
        <v>0</v>
      </c>
      <c r="H14" s="71">
        <f t="shared" si="3"/>
        <v>0</v>
      </c>
    </row>
    <row r="15" spans="1:8" ht="24" thickBot="1">
      <c r="A15" s="132" t="s">
        <v>16</v>
      </c>
      <c r="B15" s="215">
        <v>4596474000</v>
      </c>
      <c r="C15" s="61"/>
      <c r="D15" s="79"/>
      <c r="E15" s="75">
        <f t="shared" si="0"/>
        <v>4596474000</v>
      </c>
      <c r="F15" s="66">
        <f t="shared" si="1"/>
        <v>1</v>
      </c>
      <c r="G15" s="66">
        <f t="shared" si="2"/>
        <v>0</v>
      </c>
      <c r="H15" s="71">
        <f t="shared" si="3"/>
        <v>0</v>
      </c>
    </row>
    <row r="16" spans="1:8" ht="24" thickBot="1">
      <c r="A16" s="132" t="s">
        <v>17</v>
      </c>
      <c r="B16" s="215">
        <v>4443178000</v>
      </c>
      <c r="C16" s="61"/>
      <c r="D16" s="79"/>
      <c r="E16" s="75">
        <f t="shared" si="0"/>
        <v>4443178000</v>
      </c>
      <c r="F16" s="66">
        <f t="shared" si="1"/>
        <v>1</v>
      </c>
      <c r="G16" s="66">
        <f t="shared" si="2"/>
        <v>0</v>
      </c>
      <c r="H16" s="71">
        <f t="shared" si="3"/>
        <v>0</v>
      </c>
    </row>
    <row r="17" spans="1:8" ht="24" thickBot="1">
      <c r="A17" s="132" t="s">
        <v>18</v>
      </c>
      <c r="B17" s="215">
        <f>B15+B16</f>
        <v>9039652000</v>
      </c>
      <c r="C17" s="61"/>
      <c r="D17" s="79"/>
      <c r="E17" s="76">
        <f t="shared" si="0"/>
        <v>9039652000</v>
      </c>
      <c r="F17" s="66">
        <f t="shared" si="1"/>
        <v>1</v>
      </c>
      <c r="G17" s="66">
        <f t="shared" si="2"/>
        <v>0</v>
      </c>
      <c r="H17" s="71">
        <f t="shared" si="3"/>
        <v>0</v>
      </c>
    </row>
    <row r="18" spans="1:8" ht="24" thickBot="1">
      <c r="A18" s="132" t="s">
        <v>29</v>
      </c>
      <c r="B18" s="215">
        <v>2732944000</v>
      </c>
      <c r="C18" s="140"/>
      <c r="D18" s="79"/>
      <c r="E18" s="76">
        <f t="shared" si="0"/>
        <v>2732944000</v>
      </c>
      <c r="F18" s="66">
        <f t="shared" si="1"/>
        <v>1</v>
      </c>
      <c r="G18" s="66">
        <f t="shared" si="2"/>
        <v>0</v>
      </c>
      <c r="H18" s="71">
        <f t="shared" si="3"/>
        <v>0</v>
      </c>
    </row>
    <row r="19" spans="1:8" ht="24" thickBot="1">
      <c r="A19" s="132" t="s">
        <v>20</v>
      </c>
      <c r="B19" s="215">
        <v>11578561000</v>
      </c>
      <c r="C19" s="33"/>
      <c r="D19" s="79"/>
      <c r="E19" s="76">
        <f t="shared" si="0"/>
        <v>11578561000</v>
      </c>
      <c r="F19" s="66">
        <f t="shared" si="1"/>
        <v>1</v>
      </c>
      <c r="G19" s="66">
        <f t="shared" si="2"/>
        <v>0</v>
      </c>
      <c r="H19" s="71">
        <f t="shared" si="3"/>
        <v>0</v>
      </c>
    </row>
    <row r="20" spans="1:8" ht="24" thickBot="1">
      <c r="A20" s="132" t="s">
        <v>21</v>
      </c>
      <c r="B20" s="218">
        <v>0</v>
      </c>
      <c r="C20" s="33"/>
      <c r="D20" s="65"/>
      <c r="E20" s="76">
        <f t="shared" si="0"/>
        <v>0</v>
      </c>
      <c r="F20" s="66" t="e">
        <f t="shared" si="1"/>
        <v>#DIV/0!</v>
      </c>
      <c r="G20" s="66" t="e">
        <f>C20/E20</f>
        <v>#DIV/0!</v>
      </c>
      <c r="H20" s="71" t="e">
        <f t="shared" si="3"/>
        <v>#DIV/0!</v>
      </c>
    </row>
    <row r="21" spans="1:8" ht="24" thickBot="1">
      <c r="A21" s="78" t="s">
        <v>30</v>
      </c>
      <c r="B21" s="218">
        <v>4137563000</v>
      </c>
      <c r="C21" s="212"/>
      <c r="D21" s="79"/>
      <c r="E21" s="195">
        <f t="shared" si="0"/>
        <v>4137563000</v>
      </c>
      <c r="F21" s="209">
        <f t="shared" si="1"/>
        <v>1</v>
      </c>
      <c r="G21" s="209">
        <f>SUM(D21/E21)</f>
        <v>0</v>
      </c>
      <c r="H21" s="213">
        <f>SUM(C21/E21)</f>
        <v>0</v>
      </c>
    </row>
    <row r="22" spans="1:8" ht="24" thickBot="1">
      <c r="A22" s="78" t="s">
        <v>23</v>
      </c>
      <c r="B22" s="219">
        <f>(B19+B20)-B18</f>
        <v>8845617000</v>
      </c>
      <c r="C22" s="219">
        <f t="shared" ref="C22:D22" si="4">(C19+C20)-C18</f>
        <v>0</v>
      </c>
      <c r="D22" s="219">
        <f t="shared" si="4"/>
        <v>0</v>
      </c>
      <c r="E22" s="80">
        <f t="shared" si="0"/>
        <v>8845617000</v>
      </c>
      <c r="F22" s="142">
        <f t="shared" si="1"/>
        <v>1</v>
      </c>
      <c r="G22" s="142">
        <f>SUM(D22/E22)</f>
        <v>0</v>
      </c>
      <c r="H22" s="143">
        <f>SUM(C22/E22)</f>
        <v>0</v>
      </c>
    </row>
    <row r="23" spans="1:8" ht="24" thickBot="1">
      <c r="A23" s="35" t="s">
        <v>24</v>
      </c>
      <c r="B23" s="36"/>
      <c r="C23" s="36"/>
      <c r="D23" s="36">
        <f>IFERROR(D22/#REF!,0)</f>
        <v>0</v>
      </c>
      <c r="E23" s="36">
        <f>IFERROR(E22/#REF!,0)</f>
        <v>0</v>
      </c>
      <c r="F23" s="37" t="e">
        <f t="shared" si="1"/>
        <v>#DIV/0!</v>
      </c>
      <c r="G23" s="37" t="e">
        <f>SUM(D23/E23)</f>
        <v>#DIV/0!</v>
      </c>
      <c r="H23" s="37" t="e">
        <f>SUM(C23/E23)</f>
        <v>#DIV/0!</v>
      </c>
    </row>
  </sheetData>
  <mergeCells count="2">
    <mergeCell ref="A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Quartey</dc:creator>
  <cp:lastModifiedBy>James Quartey</cp:lastModifiedBy>
  <dcterms:created xsi:type="dcterms:W3CDTF">2026-01-29T12:36:24Z</dcterms:created>
  <dcterms:modified xsi:type="dcterms:W3CDTF">2026-04-23T10:08:37Z</dcterms:modified>
</cp:coreProperties>
</file>